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33a9c516ff714b5/BITSoM/Year 2/"/>
    </mc:Choice>
  </mc:AlternateContent>
  <xr:revisionPtr revIDLastSave="1" documentId="8_{2D80493C-1339-4195-90BB-7627627BA27A}" xr6:coauthVersionLast="47" xr6:coauthVersionMax="47" xr10:uidLastSave="{F7841547-C411-41F7-B988-9F7EA1D8A122}"/>
  <bookViews>
    <workbookView xWindow="-98" yWindow="-98" windowWidth="21795" windowHeight="12975" tabRatio="500" activeTab="2" xr2:uid="{00000000-000D-0000-FFFF-FFFF00000000}"/>
  </bookViews>
  <sheets>
    <sheet name="README" sheetId="1" r:id="rId1"/>
    <sheet name="Brand_Manufacturer" sheetId="2" r:id="rId2"/>
    <sheet name="Models_Overview" sheetId="3" r:id="rId3"/>
    <sheet name="Variants" sheetId="4" r:id="rId4"/>
    <sheet name="Pricing" sheetId="5" r:id="rId5"/>
    <sheet name="Powertrain" sheetId="6" r:id="rId6"/>
    <sheet name="Dimensions_Ergonomics" sheetId="7" r:id="rId7"/>
    <sheet name="Safety_Chassis" sheetId="8" r:id="rId8"/>
    <sheet name="Technology_Features" sheetId="9" r:id="rId9"/>
    <sheet name="Warranty_Maintenance" sheetId="10" r:id="rId10"/>
    <sheet name="Performance_Mileage" sheetId="11" r:id="rId11"/>
    <sheet name="Competitors" sheetId="12" r:id="rId12"/>
    <sheet name="Customer_Reviews" sheetId="13" r:id="rId13"/>
    <sheet name="Service_Network_Accessories" sheetId="14" r:id="rId14"/>
    <sheet name="Regulatory" sheetId="15" r:id="rId15"/>
    <sheet name="Assumptions" sheetId="16" r:id="rId16"/>
    <sheet name="TCO_Calculator" sheetId="17" r:id="rId17"/>
    <sheet name="Customer_Decision_Profile" sheetId="18" r:id="rId18"/>
    <sheet name="Recommendation_Logic" sheetId="19" r:id="rId19"/>
    <sheet name="Sources_Evidence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17" l="1"/>
  <c r="B31" i="17"/>
  <c r="I24" i="17"/>
  <c r="H24" i="17"/>
  <c r="G24" i="17"/>
  <c r="B24" i="17"/>
  <c r="M24" i="17" s="1"/>
  <c r="I23" i="17"/>
  <c r="H23" i="17"/>
  <c r="B23" i="17"/>
  <c r="P23" i="17" s="1"/>
  <c r="P22" i="17"/>
  <c r="M22" i="17"/>
  <c r="K22" i="17"/>
  <c r="O22" i="17" s="1"/>
  <c r="Q22" i="17" s="1"/>
  <c r="J22" i="17"/>
  <c r="I22" i="17"/>
  <c r="H22" i="17"/>
  <c r="G22" i="17"/>
  <c r="B22" i="17"/>
  <c r="I21" i="17"/>
  <c r="H21" i="17"/>
  <c r="B21" i="17"/>
  <c r="G21" i="17" s="1"/>
  <c r="P20" i="17"/>
  <c r="O20" i="17"/>
  <c r="Q20" i="17" s="1"/>
  <c r="K20" i="17"/>
  <c r="J20" i="17"/>
  <c r="I20" i="17"/>
  <c r="H20" i="17"/>
  <c r="G20" i="17"/>
  <c r="L20" i="17" s="1"/>
  <c r="B20" i="17"/>
  <c r="M20" i="17" s="1"/>
  <c r="I19" i="17"/>
  <c r="H19" i="17"/>
  <c r="G19" i="17"/>
  <c r="B19" i="17"/>
  <c r="M19" i="17" s="1"/>
  <c r="I18" i="17"/>
  <c r="H18" i="17"/>
  <c r="B18" i="17"/>
  <c r="P18" i="17" s="1"/>
  <c r="P17" i="17"/>
  <c r="M17" i="17"/>
  <c r="K17" i="17"/>
  <c r="L17" i="17" s="1"/>
  <c r="N17" i="17" s="1"/>
  <c r="J17" i="17"/>
  <c r="I17" i="17"/>
  <c r="H17" i="17"/>
  <c r="G17" i="17"/>
  <c r="B17" i="17"/>
  <c r="I16" i="17"/>
  <c r="H16" i="17"/>
  <c r="K16" i="17" s="1"/>
  <c r="B16" i="17"/>
  <c r="J16" i="17" s="1"/>
  <c r="P15" i="17"/>
  <c r="O15" i="17"/>
  <c r="Q15" i="17" s="1"/>
  <c r="K15" i="17"/>
  <c r="J15" i="17"/>
  <c r="I15" i="17"/>
  <c r="H15" i="17"/>
  <c r="G15" i="17"/>
  <c r="L15" i="17" s="1"/>
  <c r="B15" i="17"/>
  <c r="M15" i="17" s="1"/>
  <c r="I14" i="17"/>
  <c r="H14" i="17"/>
  <c r="G14" i="17"/>
  <c r="B14" i="17"/>
  <c r="J14" i="17" s="1"/>
  <c r="I13" i="17"/>
  <c r="H13" i="17"/>
  <c r="B13" i="17"/>
  <c r="G13" i="17" s="1"/>
  <c r="P12" i="17"/>
  <c r="M12" i="17"/>
  <c r="K12" i="17"/>
  <c r="L12" i="17" s="1"/>
  <c r="N12" i="17" s="1"/>
  <c r="J12" i="17"/>
  <c r="I12" i="17"/>
  <c r="H12" i="17"/>
  <c r="G12" i="17"/>
  <c r="B12" i="17"/>
  <c r="I11" i="17"/>
  <c r="H11" i="17"/>
  <c r="B11" i="17"/>
  <c r="P11" i="17" s="1"/>
  <c r="P10" i="17"/>
  <c r="O10" i="17"/>
  <c r="Q10" i="17" s="1"/>
  <c r="K10" i="17"/>
  <c r="J10" i="17"/>
  <c r="I10" i="17"/>
  <c r="H10" i="17"/>
  <c r="G10" i="17"/>
  <c r="L10" i="17" s="1"/>
  <c r="B10" i="17"/>
  <c r="M10" i="17" s="1"/>
  <c r="I9" i="17"/>
  <c r="H9" i="17"/>
  <c r="G9" i="17"/>
  <c r="B9" i="17"/>
  <c r="M9" i="17" s="1"/>
  <c r="I8" i="17"/>
  <c r="H8" i="17"/>
  <c r="B8" i="17"/>
  <c r="P8" i="17" s="1"/>
  <c r="P7" i="17"/>
  <c r="M7" i="17"/>
  <c r="K7" i="17"/>
  <c r="O7" i="17" s="1"/>
  <c r="Q7" i="17" s="1"/>
  <c r="J7" i="17"/>
  <c r="I7" i="17"/>
  <c r="H7" i="17"/>
  <c r="G7" i="17"/>
  <c r="B7" i="17"/>
  <c r="I6" i="17"/>
  <c r="H6" i="17"/>
  <c r="B6" i="17"/>
  <c r="M6" i="17" s="1"/>
  <c r="P5" i="17"/>
  <c r="O5" i="17"/>
  <c r="Q5" i="17" s="1"/>
  <c r="M5" i="17"/>
  <c r="K5" i="17"/>
  <c r="J5" i="17"/>
  <c r="I5" i="17"/>
  <c r="H5" i="17"/>
  <c r="G5" i="17"/>
  <c r="L5" i="17" s="1"/>
  <c r="N5" i="17" s="1"/>
  <c r="B5" i="17"/>
  <c r="B28" i="17" s="1"/>
  <c r="K14" i="17" l="1"/>
  <c r="K18" i="17"/>
  <c r="K23" i="17"/>
  <c r="N15" i="17"/>
  <c r="B29" i="17"/>
  <c r="B33" i="17" s="1"/>
  <c r="N20" i="17"/>
  <c r="K21" i="17"/>
  <c r="L21" i="17" s="1"/>
  <c r="N21" i="17" s="1"/>
  <c r="K19" i="17"/>
  <c r="O19" i="17" s="1"/>
  <c r="Q19" i="17" s="1"/>
  <c r="K8" i="17"/>
  <c r="K24" i="17"/>
  <c r="O24" i="17" s="1"/>
  <c r="Q24" i="17" s="1"/>
  <c r="O14" i="17"/>
  <c r="Q14" i="17" s="1"/>
  <c r="K9" i="17"/>
  <c r="O9" i="17" s="1"/>
  <c r="Q9" i="17" s="1"/>
  <c r="N10" i="17"/>
  <c r="L22" i="17"/>
  <c r="N22" i="17" s="1"/>
  <c r="P9" i="17"/>
  <c r="P14" i="17"/>
  <c r="P19" i="17"/>
  <c r="P24" i="17"/>
  <c r="L7" i="17"/>
  <c r="N7" i="17" s="1"/>
  <c r="J19" i="17"/>
  <c r="J24" i="17"/>
  <c r="G6" i="17"/>
  <c r="G11" i="17"/>
  <c r="L14" i="17"/>
  <c r="L24" i="17"/>
  <c r="N24" i="17" s="1"/>
  <c r="M14" i="17"/>
  <c r="J6" i="17"/>
  <c r="K6" i="17" s="1"/>
  <c r="J11" i="17"/>
  <c r="K11" i="17" s="1"/>
  <c r="G8" i="17"/>
  <c r="J8" i="17"/>
  <c r="J13" i="17"/>
  <c r="K13" i="17" s="1"/>
  <c r="J18" i="17"/>
  <c r="J23" i="17"/>
  <c r="O12" i="17"/>
  <c r="Q12" i="17" s="1"/>
  <c r="M11" i="17"/>
  <c r="O17" i="17"/>
  <c r="Q17" i="17" s="1"/>
  <c r="J21" i="17"/>
  <c r="M21" i="17"/>
  <c r="P6" i="17"/>
  <c r="P16" i="17"/>
  <c r="P21" i="17"/>
  <c r="J9" i="17"/>
  <c r="G18" i="17"/>
  <c r="M8" i="17"/>
  <c r="M13" i="17"/>
  <c r="M18" i="17"/>
  <c r="M23" i="17"/>
  <c r="G16" i="17"/>
  <c r="G23" i="17"/>
  <c r="M16" i="17"/>
  <c r="P13" i="17"/>
  <c r="O13" i="17" l="1"/>
  <c r="Q13" i="17" s="1"/>
  <c r="L13" i="17"/>
  <c r="N13" i="17" s="1"/>
  <c r="O8" i="17"/>
  <c r="Q8" i="17" s="1"/>
  <c r="L8" i="17"/>
  <c r="N8" i="17" s="1"/>
  <c r="N14" i="17"/>
  <c r="O6" i="17"/>
  <c r="Q6" i="17" s="1"/>
  <c r="L6" i="17"/>
  <c r="N6" i="17" s="1"/>
  <c r="L9" i="17"/>
  <c r="N9" i="17" s="1"/>
  <c r="O18" i="17"/>
  <c r="Q18" i="17" s="1"/>
  <c r="L18" i="17"/>
  <c r="N18" i="17" s="1"/>
  <c r="O11" i="17"/>
  <c r="Q11" i="17" s="1"/>
  <c r="L11" i="17"/>
  <c r="N11" i="17" s="1"/>
  <c r="L19" i="17"/>
  <c r="N19" i="17" s="1"/>
  <c r="B30" i="17"/>
  <c r="B34" i="17" s="1"/>
  <c r="B35" i="17" s="1"/>
  <c r="O23" i="17"/>
  <c r="Q23" i="17" s="1"/>
  <c r="L23" i="17"/>
  <c r="N23" i="17" s="1"/>
  <c r="O21" i="17"/>
  <c r="Q21" i="17" s="1"/>
  <c r="O16" i="17"/>
  <c r="Q16" i="17" s="1"/>
  <c r="L16" i="17"/>
  <c r="N16" i="17" s="1"/>
</calcChain>
</file>

<file path=xl/sharedStrings.xml><?xml version="1.0" encoding="utf-8"?>
<sst xmlns="http://schemas.openxmlformats.org/spreadsheetml/2006/main" count="2239" uniqueCount="1172">
  <si>
    <t>Bajaj Motorcycle Knowledge Base</t>
  </si>
  <si>
    <t>Compiled for a purchase-advisor / TCO system  ·  Accessed 2026-09-05</t>
  </si>
  <si>
    <t>Purpose</t>
  </si>
  <si>
    <t>This workbook is a structured knowledge base on Bajaj Auto's current India motorcycle lineup (21 models / ~30 priced variants), covering brand facts, per-model/per-variant identity, pricing, powertrain, dimensions, safety, features, warranty, maintenance, performance/mileage, competitors, customer sentiment, and TCO. It is designed to be queried at VARIANT level, per the brief.</t>
  </si>
  <si>
    <t>Source tiers used</t>
  </si>
  <si>
    <t>Tier 1 — OEM official</t>
  </si>
  <si>
    <t>bajajauto.com product pages, owner's manuals, warranty documents, press releases.</t>
  </si>
  <si>
    <t>Tier 2 — Regulatory</t>
  </si>
  <si>
    <t>Government/emission-standard facts (e.g. BS VI) referenced from official manuals.</t>
  </si>
  <si>
    <t>Tier 3 — Reputable auto publications</t>
  </si>
  <si>
    <t>BikeWale, ZigWheels, Autocar India, MotorBeam, Team-BHP, 91Wheels, Rushlane, BikeDekho — independent tests, mileage, competitor comparisons.</t>
  </si>
  <si>
    <t>Tier 4 — Forums / owner sentiment</t>
  </si>
  <si>
    <t>Owner reviews, forum threads, aggregated sentiment. Never manufacturer fact — opinion/experience only.</t>
  </si>
  <si>
    <t>Assumption (not sourced)</t>
  </si>
  <si>
    <t>Values needed for TCO/insurance/financing math that no source publishes. Shown in blue text — edit freely.</t>
  </si>
  <si>
    <t>Key labeling rule</t>
  </si>
  <si>
    <t>Every field that Bajaj does not publish is marked "Not published by Bajaj (official site/manuals checked)" — never guessed or backfilled from a competitor's typical spec. Independent (Tier 3/4) figures are ALWAYS kept in separate columns from official (Tier 1) figures, never merged into one number.</t>
  </si>
  <si>
    <t>Sheet index</t>
  </si>
  <si>
    <t>•  Brand_Manufacturer — Category 1: company, portfolio, philosophy, service, tech, warranty philosophy</t>
  </si>
  <si>
    <t>•  Models_Overview — Category 2: model identity, positioning, target customer, competitors, official links</t>
  </si>
  <si>
    <t>•  Variants — Category 3: every priced SKU with colours, engine config, brakes/ABS, price</t>
  </si>
  <si>
    <t>•  Pricing — Category 4: ex-showroom price detail, source, discrepancy flags (no live on-road/offers — see notes)</t>
  </si>
  <si>
    <t>•  Powertrain — Category 5: full engine specs per model</t>
  </si>
  <si>
    <t>•  Dimensions_Ergonomics — Category 8: L/W/H, wheelbase, seat height, kerb weight (mostly ND — see notes)</t>
  </si>
  <si>
    <t>•  Safety_Chassis — Categories 10-11: brakes, ABS, frame, suspension, tyres</t>
  </si>
  <si>
    <t>•  Technology_Features — Category 12: instrumentation, connectivity, ride modes</t>
  </si>
  <si>
    <t>•  Warranty_Maintenance — Categories 15,17: warranty terms, service intervals, oil grade</t>
  </si>
  <si>
    <t>•  Performance_Mileage — Categories 6-7: OEM claim vs independent test, kept in separate columns</t>
  </si>
  <si>
    <t>•  Competitors — Category 24: direct/segment competitors, tagged Tier 3</t>
  </si>
  <si>
    <t>•  Customer_Reviews — Category 25: aggregated sentiment, tagged Tier 3/4, never presented as fact</t>
  </si>
  <si>
    <t>•  Service_Network_Accessories — Categories 22-23: dealer/service network stats, official accessories</t>
  </si>
  <si>
    <t>•  Regulatory — Category 26: emission standard, CNG notes</t>
  </si>
  <si>
    <t>•  Assumptions — Categories 18-19,21: insurance/financing/resale assumptions (edit the blue cells)</t>
  </si>
  <si>
    <t>•  TCO_Calculator — Category 20: 3-yr / 5-yr TCO computed live from Variants + Assumptions</t>
  </si>
  <si>
    <t>•  Customer_Decision_Profile — Category 27: intake questionnaire template (not vehicle data)</t>
  </si>
  <si>
    <t>•  Recommendation_Logic — Category 28: scoring framework (rules, meant to live in code — see companion doc)</t>
  </si>
  <si>
    <t>•  Sources_Evidence — Category 29: master source log, every fact traceable to a URL + tier</t>
  </si>
  <si>
    <t>Disclaimer</t>
  </si>
  <si>
    <t>Prices/specs change; verify current figures on bajajauto.com before any purchase decision. Tier 3/4 data reflects opinions and test conditions of third parties, not Bajaj. TCO/insurance/financing numbers are illustrative assumptions, not quotes.</t>
  </si>
  <si>
    <t>Brand / Manufacturer Information — Bajaj Auto Ltd</t>
  </si>
  <si>
    <t>Category 1  ·  Tier 1 official unless noted</t>
  </si>
  <si>
    <t>Field</t>
  </si>
  <si>
    <t>Value</t>
  </si>
  <si>
    <t>Source</t>
  </si>
  <si>
    <t>Company name</t>
  </si>
  <si>
    <t>Bajaj Auto Ltd.</t>
  </si>
  <si>
    <t>bajajauto.com (site-wide footer)</t>
  </si>
  <si>
    <t>Parent / group structure</t>
  </si>
  <si>
    <t>Bajaj Auto Ltd is the flagship, top-level listed company of the Bajaj Group (founded by Jamnalal Bajaj); it owns subsidiaries (Chetak Technology Ltd, Bajaj Auto Credit Ltd, plus units in Indonesia/Netherlands/Thailand/Spain) rather than being owned by a named parent.</t>
  </si>
  <si>
    <t>bajajauto.com/about-us/about-bajaj-group; bajajauto.com/about-us/bajaj-auto-subsidiaries</t>
  </si>
  <si>
    <t>Brand positioning / tagline</t>
  </si>
  <si>
    <t>"The World's Favourite Indian"; "World's most valuable two- and three-wheeler company"; "World No.1 Three-Wheeler"</t>
  </si>
  <si>
    <t>bajajauto.com; bajajauto.com/about-us/about-bajaj-group</t>
  </si>
  <si>
    <t>Market positioning by line</t>
  </si>
  <si>
    <t>Dominar = sports-tourer ("Born To Sprint, Built To Tour"); Pulsar NS/RS = performance-first naked/sport; Avenger = cruiser/lifestyle; Freedom = value/eco commuter (CNG). Platina/CT: Not published by Bajaj (official site/manuals checked) (no explicit tagline found).</t>
  </si>
  <si>
    <t>bajajauto.com/bikes/dominar/dominar-400; bajajauto.com/bikes/avenger/avenger-street-160; bajajauto.com/bikes/bajaj-freedom/bajaj-freedom-125-ng04</t>
  </si>
  <si>
    <t>Target customer segments</t>
  </si>
  <si>
    <t>Pulsar (NS/RS/Classic): performance-oriented street riders. Dominar: touring/adventure-leaning enthusiasts. Avenger: lifestyle/cruiser riders. Freedom 125: cost-conscious, eco-aware daily commuters ("50% fuel-cost savings" messaging). Platina/CT: Not published by Bajaj (official site/manuals checked).</t>
  </si>
  <si>
    <t>as above</t>
  </si>
  <si>
    <t>Motorcycle portfolio</t>
  </si>
  <si>
    <t>Freedom, Pulsar (N / NS / RS / Classic sub-series), Dominar, Avenger, Platina, CT</t>
  </si>
  <si>
    <t>bajajauto.com/bikes</t>
  </si>
  <si>
    <t>Scooter portfolio</t>
  </si>
  <si>
    <t>None currently sold under the Bajaj brand.</t>
  </si>
  <si>
    <t>bajajauto.com/bikes (no scooter listed)</t>
  </si>
  <si>
    <t>EV portfolio</t>
  </si>
  <si>
    <t>Chetak — organized as a SEPARATE brand with its own site (chetak.com), backed by subsidiary Chetak Technology Ltd; not listed inside bajajauto.com/bikes.</t>
  </si>
  <si>
    <t>chetak.com; bajajauto.com/about-us/bajaj-auto-subsidiaries</t>
  </si>
  <si>
    <t>Premium / performance portfolio</t>
  </si>
  <si>
    <t>Dominar (250/400) and Pulsar RS/NS series (esp. NS400Z, RS200, NS200) carry the performance-first framing.</t>
  </si>
  <si>
    <t>Commuter portfolio</t>
  </si>
  <si>
    <t>Platina (100/110), CT 110X, and the entry Pulsar 125/N125/NS125 tier. ("Commuter" is an inferred tier label — not an official Bajaj term.)</t>
  </si>
  <si>
    <t>bajajauto.com/bikes — label inferred, flagged</t>
  </si>
  <si>
    <t>Touring / adventure portfolio</t>
  </si>
  <si>
    <t>Dominar 250/400, explicitly marketed as sports-tourers ("Born To Sprint, Built To Tour").</t>
  </si>
  <si>
    <t>bajajauto.com/bikes/dominar/dominar-400</t>
  </si>
  <si>
    <t>Other business lines (context)</t>
  </si>
  <si>
    <t>Three-wheelers &amp; Qute (RE, Maxima, Qute, GoGo, Riki, WEGO); "Global Business" distributing KTM and Triumph; Bajaj Auto Credit Ltd (financing NBFC).</t>
  </si>
  <si>
    <t>bajajauto.com; bajajauto.com/about-us/bajaj-auto-subsidiaries</t>
  </si>
  <si>
    <t>Brand philosophy</t>
  </si>
  <si>
    <t>Heritage narrative around 80+ years of continuity and the Jamnalal Bajaj origin story; "growth as the ultimate vision." (Chetak's separate site adds "Lifeproof"/"Truly made for India" — EV-specific, not the main ICE brand line.)</t>
  </si>
  <si>
    <t>bajajauto.com/about-us/about-bajaj-group; chetak.com</t>
  </si>
  <si>
    <t>Major technologies marketed</t>
  </si>
  <si>
    <t>Twin-spar perimeter frame; Nitrox monoshock; DOHC liquid-cooled engines; slipper/assist clutch; switchable electronic traction control (ETC); dual/twin-channel ABS with radial calipers; CNG bi-fuel system w/ auxiliary petrol tank (Freedom); "DTS-i" heritage engine branding.</t>
  </si>
  <si>
    <t>bajajauto.com/bikes/dominar/dominar-400; bajajauto.com/bikes/bajaj-freedom/bajaj-freedom-125-ng04</t>
  </si>
  <si>
    <t>Warranty philosophy</t>
  </si>
  <si>
    <t>Standard warranty confirmed (via Pulsar N160 &amp; Dominar 250 owner's manuals) as 5 years or 75,000 km, whichever occurs first, first owner only — conditional on 3 free services without lapse + paid services every 5,000 km/120 days at authorized dealers using Bajaj-specified oil. No separate cross-portfolio "extended warranty" product found for Bajaj-badged bikes (KTM, a distributed brand, has its own separate 5-yr warranty + RSA program).</t>
  </si>
  <si>
    <t>owner's manual PDFs (Pulsar N160, Dominar 250) via bajajauto.com/customer-service/owners-manual</t>
  </si>
  <si>
    <t>Service network</t>
  </si>
  <si>
    <t>700+ dealers, 3,000 authorized service dealers, 100 spare-part distributors, 1,000 priority retailers across India (official figure).</t>
  </si>
  <si>
    <t>bajajauto.com/customer-service/spares</t>
  </si>
  <si>
    <t>Customer-care channels</t>
  </si>
  <si>
    <t>Phone +91 7219821111 (9AM-8PM); board lines +91(020) 2740 7000/6000, 6610 7000/6000, 2747 2851; email customerservice@bajajauto.co.in (corporate: corporatesales@bajajauto.co.in); Facebook/Instagram/LinkedIn. No toll-free number or live chat found on the official site.</t>
  </si>
  <si>
    <t>bajajauto.com/customer-service/contact-us</t>
  </si>
  <si>
    <t>Official website</t>
  </si>
  <si>
    <t>https://www.bajajauto.com/</t>
  </si>
  <si>
    <t>—</t>
  </si>
  <si>
    <t>Official product catalogue</t>
  </si>
  <si>
    <t>https://www.bajajauto.com/bikes</t>
  </si>
  <si>
    <t>Official brochures</t>
  </si>
  <si>
    <t>Individual model pages link downloadable PDF brochures; URL pattern: bajajauto.com/-/media/assets/bajajauto/bikes/[model]/brochures/[model]-brochure.pdf (confirmed pattern; not individually re-verified for every one of the 20 models in this workbook).</t>
  </si>
  <si>
    <t>bajajauto.com/bikes/dominar/dominar-400 (example)</t>
  </si>
  <si>
    <t>Official manuals</t>
  </si>
  <si>
    <t>Dedicated download hub with ~30 model/variant owner's manuals as PDFs.</t>
  </si>
  <si>
    <t>https://www.bajajauto.com/customer-service/owners-manual</t>
  </si>
  <si>
    <t>Product / Model Identity</t>
  </si>
  <si>
    <t>Category 2  ·  one row per MODEL (variant detail lives in the Variants sheet)</t>
  </si>
  <si>
    <t>Brand</t>
  </si>
  <si>
    <t>Family</t>
  </si>
  <si>
    <t>Model</t>
  </si>
  <si>
    <t>Model Year</t>
  </si>
  <si>
    <t>Category</t>
  </si>
  <si>
    <t>ICE/EV</t>
  </si>
  <si>
    <t>Segment</t>
  </si>
  <si>
    <t>Intended Usage</t>
  </si>
  <si>
    <t>Positioning</t>
  </si>
  <si>
    <t>Target Customer</t>
  </si>
  <si>
    <t>Key Differentiators</t>
  </si>
  <si>
    <t>Direct Competitors (Tier 3)</t>
  </si>
  <si>
    <t>Official Product Page</t>
  </si>
  <si>
    <t>Owner's Manual Hub</t>
  </si>
  <si>
    <t>Bajaj</t>
  </si>
  <si>
    <t>Freedom</t>
  </si>
  <si>
    <t>Bajaj Freedom 125 NG04</t>
  </si>
  <si>
    <t>2026 lineup (as listed, Sept 2026)</t>
  </si>
  <si>
    <t>Motorcycle</t>
  </si>
  <si>
    <t>ICE</t>
  </si>
  <si>
    <t>125cc CNG bi-fuel commuter</t>
  </si>
  <si>
    <t>Daily city commute, cost-conscious high-mileage riding</t>
  </si>
  <si>
    <t>World's first CNG motorcycle; ~50% running-cost saving vs petrol</t>
  </si>
  <si>
    <t>Cost-conscious, eco-aware daily commuters</t>
  </si>
  <si>
    <t>Only mass-market CNG motorcycle in India; mono-linked CNG cylinder + 2L petrol reserve</t>
  </si>
  <si>
    <t>125cc petrol commuters: TVS Raider 125, Hero Xtreme 125R, Bajaj's own Pulsar NS125 (no direct CNG rival exists)</t>
  </si>
  <si>
    <t>https://www.bajajauto.com/bikes/bajaj-freedom/bajaj-freedom-125-ng04</t>
  </si>
  <si>
    <t>Pulsar</t>
  </si>
  <si>
    <t>Pulsar N125</t>
  </si>
  <si>
    <t>125cc naked commuter-sport</t>
  </si>
  <si>
    <t>Urban commute with sporty styling</t>
  </si>
  <si>
    <t>Entry point to the new-generation Pulsar 'N' naked design language</t>
  </si>
  <si>
    <t>Young, style-conscious first/second-bike buyers</t>
  </si>
  <si>
    <t>LED headlamp + Bluetooth console at 125cc price point</t>
  </si>
  <si>
    <t>TVS Raider 125, Hero Xtreme 125R, Honda Shine/SP125, Hero Glamour/Super Splendor</t>
  </si>
  <si>
    <t>https://www.bajajauto.com/bikes/pulsar/pulsar-n125</t>
  </si>
  <si>
    <t>Pulsar N160</t>
  </si>
  <si>
    <t>160cc naked street</t>
  </si>
  <si>
    <t>Urban + occasional highway; performance-oriented commuter</t>
  </si>
  <si>
    <t>Feature-flagship of the N-series naked line</t>
  </si>
  <si>
    <t>Riders wanting tech (TFT/nav/ride modes) at 160cc</t>
  </si>
  <si>
    <t>Up to 5 trims spanning 2V/4V engines, mono/dual-channel ABS, TFT w/ Google Maps mirroring on top trim</t>
  </si>
  <si>
    <t>Honda Unicorn/Hornet lower trims, TVS Apache RTR 160, Yamaha FZ-S FI</t>
  </si>
  <si>
    <t>https://www.bajajauto.com/bikes/pulsar/pulsar-n160</t>
  </si>
  <si>
    <t>Pulsar N250</t>
  </si>
  <si>
    <t>250cc naked street</t>
  </si>
  <si>
    <t>Urban + confident highway cruising</t>
  </si>
  <si>
    <t>Quarter-litre naked flagship with USD forks and dual-channel ABS</t>
  </si>
  <si>
    <t>Upgraders from 150-160cc wanting more performance</t>
  </si>
  <si>
    <t>SOHC oil-cooled 250, projector headlamp, connected console with ride modes + traction control</t>
  </si>
  <si>
    <t>Yamaha FZ25, Suzuki Gixxer 250, Bajaj's own Dominar 250</t>
  </si>
  <si>
    <t>https://www.bajajauto.com/bikes/pulsar/pulsar-n250</t>
  </si>
  <si>
    <t>Pulsar NS125</t>
  </si>
  <si>
    <t>125cc naked street</t>
  </si>
  <si>
    <t>Urban commute with sportier naked styling than N125</t>
  </si>
  <si>
    <t>Naked-street 125 with perimeter frame and 4-valve engine</t>
  </si>
  <si>
    <t>Style-focused commuters wanting a 'baby NS'</t>
  </si>
  <si>
    <t>Perimeter frame + 4-valve engine at 125cc; single-channel ABS with 3 ride modes</t>
  </si>
  <si>
    <t>TVS Raider 125, Hero Xtreme 125R, Bajaj's own N125/Freedom 125</t>
  </si>
  <si>
    <t>https://www.bajajauto.com/bikes/pulsar/pulsar-ns125</t>
  </si>
  <si>
    <t>Pulsar NS160</t>
  </si>
  <si>
    <t>Urban + occasional highway</t>
  </si>
  <si>
    <t>Perimeter-frame naked with twin-spark 4-valve engine</t>
  </si>
  <si>
    <t>Riders wanting a sportier 160 with dual-channel ABS as standard</t>
  </si>
  <si>
    <t>Nitrox monoshock w/ canister, dual-channel ABS standard, USD forks</t>
  </si>
  <si>
    <t>Honda Unicorn/Hornet, TVS Apache RTR 160, Yamaha FZ-S FI</t>
  </si>
  <si>
    <t>https://www.bajajauto.com/bikes/pulsar/pulsar-ns160</t>
  </si>
  <si>
    <t>Pulsar NS200</t>
  </si>
  <si>
    <t>200cc naked street</t>
  </si>
  <si>
    <t>Urban + confident highway performance riding</t>
  </si>
  <si>
    <t>Bajaj's benchmark 200cc street-naked performance bike</t>
  </si>
  <si>
    <t>Performance-focused riders in the 200cc bracket</t>
  </si>
  <si>
    <t>Liquid-cooled 4V engine, 6-speed, dual-channel ABS, fastest 0-100 in its 3-way comparo group</t>
  </si>
  <si>
    <t>TVS Apache RTR 200 4V, Honda Hornet 2.0</t>
  </si>
  <si>
    <t>https://www.bajajauto.com/bikes/pulsar/pulsar-ns200</t>
  </si>
  <si>
    <t>Pulsar NS400Z</t>
  </si>
  <si>
    <t>373cc naked street (performance flagship)</t>
  </si>
  <si>
    <t>Spirited street riding + occasional track/highway</t>
  </si>
  <si>
    <t>Pulsar range-topper; clutch-less 'Sports Shift' gearing</t>
  </si>
  <si>
    <t>Enthusiasts moving up from 200-250cc to a genuine performance naked</t>
  </si>
  <si>
    <t>Sports Shift clutch-less shifting, 320mm front disc w/ sintered pads, 4 ride modes incl. switchable traction control</t>
  </si>
  <si>
    <t>KTM 390 Duke (primary benchmark); Dominar 400 (sibling, different use-case)</t>
  </si>
  <si>
    <t>https://www.bajajauto.com/bikes/pulsar/pulsar-ns400z</t>
  </si>
  <si>
    <t>Pulsar RS200</t>
  </si>
  <si>
    <t>200cc fully-faired sport</t>
  </si>
  <si>
    <t>Spirited riding + confident highway touring</t>
  </si>
  <si>
    <t>Bajaj's only fully-faired sport model</t>
  </si>
  <si>
    <t>Riders wanting race-inspired styling with everyday usability</t>
  </si>
  <si>
    <t>Full fairing, 6-speed, dual-channel ABS, assist &amp; slipper clutch, projector LED headlamps w/ DRLs</t>
  </si>
  <si>
    <t>No dedicated 3-way comparo found; cross-shopped with Yamaha R15/FZ25 buyers trading up, and internally with NS200</t>
  </si>
  <si>
    <t>https://www.bajajauto.com/bikes/pulsar/pulsar-rs200</t>
  </si>
  <si>
    <t>Pulsar 125</t>
  </si>
  <si>
    <t>125cc classic-styled commuter</t>
  </si>
  <si>
    <t>Daily commute with 'big-bike' classic Pulsar styling</t>
  </si>
  <si>
    <t>Classic full-headlamp Pulsar design language at 125cc</t>
  </si>
  <si>
    <t>Buyers wanting Pulsar heritage styling in an affordable displacement</t>
  </si>
  <si>
    <t>TFT display + premium split seat at 125cc price point</t>
  </si>
  <si>
    <t>https://www.bajajauto.com/bikes/pulsar/pulsar-125</t>
  </si>
  <si>
    <t>Pulsar 150</t>
  </si>
  <si>
    <t>150cc classic-styled commuter-sport</t>
  </si>
  <si>
    <t>Daily commute + weekend spirited riding</t>
  </si>
  <si>
    <t>Long-running best-seller in Bajaj's classic Pulsar line</t>
  </si>
  <si>
    <t>Value-conscious riders wanting proven Pulsar heritage</t>
  </si>
  <si>
    <t>Twin Hydraulic/adjustable Nitrox rear suspension, dual disc + ABS on top trim</t>
  </si>
  <si>
    <t>Honda Unicorn/SP160, TVS Apache RTR 160, Yamaha FZ-S FI (general 150cc segment)</t>
  </si>
  <si>
    <t>https://www.bajajauto.com/bikes/pulsar/pulsar-150</t>
  </si>
  <si>
    <t>Pulsar 180</t>
  </si>
  <si>
    <t>180cc classic-styled commuter-sport</t>
  </si>
  <si>
    <t>Daily commute + spirited weekend riding</t>
  </si>
  <si>
    <t>Reintroduced/relaunched classic Pulsar for 2026</t>
  </si>
  <si>
    <t>Buyers wanting more power than the 150 without stepping to 220F</t>
  </si>
  <si>
    <t>Freshly relaunched in 2026 within Bajaj's own range (positioned above 150, below 220F)</t>
  </si>
  <si>
    <t>Positioned mainly within Bajaj's own range (above 150, below 220F) — no external 3-way comparo found yet given recent relaunch</t>
  </si>
  <si>
    <t>https://www.bajajauto.com/bikes/pulsar/pulsar-180-2026</t>
  </si>
  <si>
    <t>Pulsar 220F</t>
  </si>
  <si>
    <t>220cc fully-faired classic sport</t>
  </si>
  <si>
    <t>Daily commute + highway touring</t>
  </si>
  <si>
    <t>Bajaj's long-running affordable faired sport-tourer</t>
  </si>
  <si>
    <t>Riders wanting faired sport styling at a lower price than RS200</t>
  </si>
  <si>
    <t>Single-channel ABS, projector headlamp, 5-step adjustable Nitrox suspension</t>
  </si>
  <si>
    <t>Yamaha FZ25 (most-cited direct comparison)</t>
  </si>
  <si>
    <t>https://www.bajajauto.com/bikes/pulsar/pulsar-220f</t>
  </si>
  <si>
    <t>Dominar</t>
  </si>
  <si>
    <t>Dominar 250</t>
  </si>
  <si>
    <t>250cc sports-tourer</t>
  </si>
  <si>
    <t>Highway touring + confident city riding</t>
  </si>
  <si>
    <t>"Born To Sprint, Built To Tour" — entry into Bajaj's touring line</t>
  </si>
  <si>
    <t>Riders wanting Dominar touring DNA at a lower displacement/price than the 400</t>
  </si>
  <si>
    <t>Twin-spar perimeter frame, 37mm USD forks, radial-caliper front disc, twin-channel switchable ABS, ETC in Sport/Off-Road</t>
  </si>
  <si>
    <t>KTM 250 Duke (closest rival); Honda CB300R, KTM 200 Duke as adjacent options; also cross-shopped vs Pulsar N250/Suzuki Gixxer 250</t>
  </si>
  <si>
    <t>https://www.bajajauto.com/bikes/dominar/dominar-250</t>
  </si>
  <si>
    <t>Dominar 400</t>
  </si>
  <si>
    <t>373cc sports-tourer (flagship)</t>
  </si>
  <si>
    <t>Long-distance touring + highway performance</t>
  </si>
  <si>
    <t>"Big bike feel" flagship tourer, Bajaj's most powerful non-KTM-distributed model</t>
  </si>
  <si>
    <t>Touring enthusiasts and long-distance commuters wanting torque + comfort</t>
  </si>
  <si>
    <t>Twin-barrel exhaust, 43mm USD forks, built-in bungee straps, switchable ETC, touring accessory range</t>
  </si>
  <si>
    <t>KTM 390 Duke (segment-defining rival); also framed as a touring alternative to Royal Enfield Meteor 350/Classic 350/Himalayan and Interceptor 650; Honda CB300F</t>
  </si>
  <si>
    <t>https://www.bajajauto.com/bikes/dominar/dominar-400</t>
  </si>
  <si>
    <t>Avenger</t>
  </si>
  <si>
    <t>Avenger 220 Cruise</t>
  </si>
  <si>
    <t>220cc cruiser</t>
  </si>
  <si>
    <t>Relaxed city + highway cruising</t>
  </si>
  <si>
    <t>Bajaj's touring-cruiser Avenger variant</t>
  </si>
  <si>
    <t>Riders wanting a low, relaxed cruiser riding posture at a budget price</t>
  </si>
  <si>
    <t>30° low cruiser posture, forward foot pegs, 5-step adjustable rear shocks</t>
  </si>
  <si>
    <t>Royal Enfield Meteor 350 (most-cited rival); Honda H'ness CB350 at a higher price step — framed as a 'budget cruiser' vs these 350cc rivals</t>
  </si>
  <si>
    <t>https://www.bajajauto.com/bikes/avenger/avenger-cruise-220</t>
  </si>
  <si>
    <t>Avenger 220 Street</t>
  </si>
  <si>
    <t>220cc cruiser (street variant)</t>
  </si>
  <si>
    <t>Street-styled sibling to the Avenger Cruise</t>
  </si>
  <si>
    <t>Riders wanting Avenger cruiser mechanicals in a more street-styled package</t>
  </si>
  <si>
    <t>Same engine/chassis as Cruise, different styling &amp; colourway</t>
  </si>
  <si>
    <t>Royal Enfield Meteor 350; Honda H'ness CB350 (same framing as Cruise)</t>
  </si>
  <si>
    <t>https://www.bajajauto.com/bikes/avenger/avenger-street-220</t>
  </si>
  <si>
    <t>Platina</t>
  </si>
  <si>
    <t>Platina 100</t>
  </si>
  <si>
    <t>100cc entry commuter</t>
  </si>
  <si>
    <t>Maximum-economy daily commute</t>
  </si>
  <si>
    <t>Bajaj's most affordable, mileage-focused commuter</t>
  </si>
  <si>
    <t>First-time/budget buyers prioritising running cost above all else</t>
  </si>
  <si>
    <t>"Spring-in-Spring" rear suspension for ride comfort at entry price</t>
  </si>
  <si>
    <t>Hero HF Deluxe, Honda Shine 100 (the standard 3-way 'first bike' comparison)</t>
  </si>
  <si>
    <t>https://www.bajajauto.com/bikes/platina/platina-100</t>
  </si>
  <si>
    <t>Platina 110 Drum</t>
  </si>
  <si>
    <t>110cc entry commuter</t>
  </si>
  <si>
    <t>Economy daily commute with slightly more power than the 100</t>
  </si>
  <si>
    <t>Step-up Platina with 5-speed gearbox</t>
  </si>
  <si>
    <t>Budget buyers wanting a bit more power/gears than the Platina 100</t>
  </si>
  <si>
    <t>5-speed gearbox, SOS (Spring-Over-Spring) rear suspension w/ Nitrox canister</t>
  </si>
  <si>
    <t>Hero HF Deluxe, Honda Shine 100</t>
  </si>
  <si>
    <t>https://www.bajajauto.com/bikes/platina/platina-110</t>
  </si>
  <si>
    <t>CT</t>
  </si>
  <si>
    <t>CT 110X</t>
  </si>
  <si>
    <t>110cc rugged/rural commuter</t>
  </si>
  <si>
    <t>Rough-road commute, small load-carrying, rural/semi-urban use</t>
  </si>
  <si>
    <t>Bajaj's toughened commuter for rural and rough-road use</t>
  </si>
  <si>
    <t>Riders needing durability over rough roads and light load-carrying</t>
  </si>
  <si>
    <t>Circular belly pan, stronger crash guards, third footrest, special carrier, semi-knobby tyres</t>
  </si>
  <si>
    <t>Hero Splendor Plus, Hero HF Deluxe (incl. Flex Fuel), TVS Sport</t>
  </si>
  <si>
    <t>https://www.bajajauto.com/bikes/ct/ct-110x</t>
  </si>
  <si>
    <t>Variant Information</t>
  </si>
  <si>
    <t>Category 3  ·  ~30 priced SKUs across 20 models  ·  Recommendation engine should key off this sheet</t>
  </si>
  <si>
    <t>Ex-showroom Price (Delhi, INR)</t>
  </si>
  <si>
    <t>Price Notes / Discrepancy Flags</t>
  </si>
  <si>
    <t>Colours Available</t>
  </si>
  <si>
    <t>Engine Config (summary)</t>
  </si>
  <si>
    <t>Transmission</t>
  </si>
  <si>
    <t>Front Brake</t>
  </si>
  <si>
    <t>Rear Brake</t>
  </si>
  <si>
    <t>ABS Configuration</t>
  </si>
  <si>
    <t>Warranty</t>
  </si>
  <si>
    <t>Official Variant/Model URL</t>
  </si>
  <si>
    <t>3 priced variants: Disc LED 1,17,499 / Drum LED 1,04,058 / Drum 1,07,159 (ex-showroom Delhi)</t>
  </si>
  <si>
    <t>Racing Red, Cyber White, Ebony Black, Pewter Grey, Caribbean Blue</t>
  </si>
  <si>
    <t>124.6 cc — 9.5 PS (6.99 kW) @ 8,000 rpm, 9.7 Nm @ 5,000 rpm</t>
  </si>
  <si>
    <t>5-speed manual, 1-down-4-up [T3]</t>
  </si>
  <si>
    <t>Disc (Disc LED variant)</t>
  </si>
  <si>
    <t>Drum or Disc (variant-dependent, size Not published by Bajaj (official site/manuals checked))</t>
  </si>
  <si>
    <t>CBS (Combi Braking System) — not full ABS [T3]</t>
  </si>
  <si>
    <t>5 yrs / 75,000 km standard policy (company-wide; not individually restated on this model's page)</t>
  </si>
  <si>
    <t>Page shows 3 close price points (91,692 / 92,270 / 93,158) for BT/non-BT/Disc trims — verify exact trim before quoting</t>
  </si>
  <si>
    <t>Ebony Black-Cocktail Wine Red, Ebony Black-Purple Fury, Pewter Grey-Citrus Rush</t>
  </si>
  <si>
    <t>124.59 cc — 12 PS (8.83 kW) @ 8,500 rpm, 11 Nm @ 6,000 rpm</t>
  </si>
  <si>
    <t>5-speed manual</t>
  </si>
  <si>
    <t>240 mm disc</t>
  </si>
  <si>
    <t>130 mm drum</t>
  </si>
  <si>
    <t>5 yrs / 75,000 km standard policy</t>
  </si>
  <si>
    <t>5 variants: SD 1,22,106 / TD 1,25,104 / TD Split 1,31,771 / S 1,33,511 / SS 1,42,585 (ex-showroom Delhi)</t>
  </si>
  <si>
    <t>Black, White, Red, Blue (4 options across variants)</t>
  </si>
  <si>
    <t>164.9 cc — 16 PS @ 8,750 rpm (2V) / 18.5 PS @ 9,500 rpm (4V), 14.65 Nm @ 6,750 rpm (2V) / 14.4 Nm @ 8,000 rpm (4V)</t>
  </si>
  <si>
    <t>5-speed, 1-down-4-up [T3]</t>
  </si>
  <si>
    <t>280 mm disc (SD/S) / 300 mm disc (TD Split/SS)</t>
  </si>
  <si>
    <t>130 mm drum (SD) / 230 mm disc (TD/4V)</t>
  </si>
  <si>
    <t>1-channel (SD/S) / 2-channel (TD Split/SS)</t>
  </si>
  <si>
    <t>5 yrs / 75,000 km (confirmed via this model's own owner's manual)</t>
  </si>
  <si>
    <t>Master listing shows 1,42,202; detail page separately showed 1,34,166 — discrepancy, verify current trim/price before quoting</t>
  </si>
  <si>
    <t>Brooklyn Black, Pearl Metallic White, Glossy Racing Red</t>
  </si>
  <si>
    <t>249.07 cc — 24.5 PS (18 kW) @ 8,750 rpm, 21.5 Nm @ 6,500 rpm</t>
  </si>
  <si>
    <t>5-speed manual, chain drive [T3]</t>
  </si>
  <si>
    <t>Disc (Not published by Bajaj (official site/manuals checked) size)</t>
  </si>
  <si>
    <t>Disc (size not found) [T3]</t>
  </si>
  <si>
    <t>Dual-channel (standard)</t>
  </si>
  <si>
    <t>2 variants: LED BT 92,182 / LED BT ABS 99,622 (ex-showroom Delhi)</t>
  </si>
  <si>
    <t>Fiery Orange, Burnt Red, Beach Blue, Pewter Grey (BT); Black, Pearl White, Blue, Orange, Red (ABS)</t>
  </si>
  <si>
    <t>124.45 cc — 12 PS (8.83 kW) @ 8,500 rpm, 11 Nm @ 7,000 rpm</t>
  </si>
  <si>
    <t>5-speed manual [T3]</t>
  </si>
  <si>
    <t>Drum (size not found) [T3]</t>
  </si>
  <si>
    <t>Single-channel ABS with 3 ride modes (ABS variant only)</t>
  </si>
  <si>
    <t>Page shows two prices (1,20,171 and 1,26,301) without clearly attached variant names — likely SC vs DC USD trims; verify before quoting</t>
  </si>
  <si>
    <t>Ebony Black, Pearl Metallic White, Cocktail Wine Red, Pewter Grey</t>
  </si>
  <si>
    <t>160.3 cc — 17 PS (12.5 kW) @ 9,000 rpm, 14.6 Nm @ 7,250 rpm</t>
  </si>
  <si>
    <t>Master listing 1,38,302 (SC); page also references 1,32,962 and 1,43,146 for other trims — verify exact trim before quoting</t>
  </si>
  <si>
    <t>Glossy Ebony Black, Metallic Pearl White, Pewter Grey Blue, Cocktail Wine Red-White</t>
  </si>
  <si>
    <t>199.5 cc — 24.5 PS (18 kW) @ 9,750 rpm, 18.74 Nm @ 8,000 rpm</t>
  </si>
  <si>
    <t>6-speed manual</t>
  </si>
  <si>
    <t>Page shows multiple figures (1,86,015 / 1,92,328 / 1,92,794 / 1,93,830) — likely ex-showroom vs on-road at different times; verify before quoting</t>
  </si>
  <si>
    <t>Brooklyn Black, Pearl Metallic White, Glossy Racing Red, Pewter Grey</t>
  </si>
  <si>
    <t>349.13 cc — 40.6 PS (29.42 kW) @ 9,000 rpm, 33.2 Nm @ 7,500 rpm</t>
  </si>
  <si>
    <t>Manual with Sports Shift, 6-speed gearbox [T3]</t>
  </si>
  <si>
    <t>320 mm disc, sintered pads</t>
  </si>
  <si>
    <t>230 mm disc</t>
  </si>
  <si>
    <t>Dual-channel (standard, across all ride modes)</t>
  </si>
  <si>
    <t>Page shows 1,80,528 alongside a separate 'starting price' of 1,71,153 elsewhere — verify before quoting</t>
  </si>
  <si>
    <t>Brooklyn Black, Pearl Metallic White &amp; Caribbean Blue, Racing Red</t>
  </si>
  <si>
    <t>199.5 cc — 24.5 PS (18 kW) @ 9,750 rpm, 18.7 Nm @ 8,000 rpm</t>
  </si>
  <si>
    <t>300 mm disc</t>
  </si>
  <si>
    <t>Single trim as listed</t>
  </si>
  <si>
    <t>Ebony Black+Cyan Blue, Sapphire Blue+Blue Silver, Ebony Black+Magenta Red, Fury Red+Light Orange, Dark Silver+Aqua Blue</t>
  </si>
  <si>
    <t>124.38 cc — 11.8 PS (8.68 kW) @ 8,500 rpm, 10.8 Nm @ 6,500 rpm</t>
  </si>
  <si>
    <t>260 mm disc [T3]</t>
  </si>
  <si>
    <t>130 mm drum [T3]</t>
  </si>
  <si>
    <t>Not published by Bajaj (official site/manuals checked)</t>
  </si>
  <si>
    <t>2 variants referenced: SD 1,11,669 / TD 1,15,481; master listing shows base 1,11,197 — verify exact trim before quoting</t>
  </si>
  <si>
    <t>Black Gold, Ebony Black Cherry Red, Ebony Black Ink Blue, Ebony Black Dark Grey</t>
  </si>
  <si>
    <t>149.5 cc — 14 PS (10.3 kW) @ 8,500 rpm, 13.25 Nm @ 6,500 rpm</t>
  </si>
  <si>
    <t>5-speed, 1-down-5-up [T3]</t>
  </si>
  <si>
    <t>260 mm disc, 2-piston caliper [T3]</t>
  </si>
  <si>
    <t>130 mm drum [T3] (conflicts with 'dual disc' framing on official page — likely variant-dependent)</t>
  </si>
  <si>
    <t>Single-channel ABS on ABS-equipped variant [T3]</t>
  </si>
  <si>
    <t>Black Gold, Black Blue, Black Grey, Black Red</t>
  </si>
  <si>
    <t>178.61 cc — 17 PS (12.5 kW) @ 8,500 rpm, 15 Nm @ 6,500 rpm</t>
  </si>
  <si>
    <t>280 mm disc [T3]</t>
  </si>
  <si>
    <t>230 mm disc [T3]</t>
  </si>
  <si>
    <t>Single-channel ABS [T3]</t>
  </si>
  <si>
    <t>Single trim as listed; an on-road figure of 1,28,490 also appears on the page (lower than ex-showroom — likely a mislabeled/older figure, verify)</t>
  </si>
  <si>
    <t>Black Gold, Black Cherry Red, Black Ink Blue, Black Copper Beige</t>
  </si>
  <si>
    <t>220 cc — 20.9 PS (15.37 kW) @ 8,500 rpm, 18.55 Nm @ 7,000 rpm</t>
  </si>
  <si>
    <t>Single-channel ABS</t>
  </si>
  <si>
    <t>Master listing 1,86,835; detail page separately showed 1,78,062 — discrepancy, verify current price before quoting</t>
  </si>
  <si>
    <t>Canyon Red, Sparkling Black, Citrus Rush</t>
  </si>
  <si>
    <t>248.77 cc — 27 PS (19.85 kW) @ 8,500 rpm, 23.5 Nm @ 6,500 rpm</t>
  </si>
  <si>
    <t>6-speed gearbox</t>
  </si>
  <si>
    <t>300 mm disc, radial caliper</t>
  </si>
  <si>
    <t>230 mm disc, 1-piston caliper [T3]</t>
  </si>
  <si>
    <t>Twin-channel, switchable per ride mode</t>
  </si>
  <si>
    <t>Aurora Green, Charcoal Black</t>
  </si>
  <si>
    <t>Radial-caliper disc (43 m braking distance 0-100 km/h stated; size Not published by Bajaj (official site/manuals checked))</t>
  </si>
  <si>
    <t>Twin-channel</t>
  </si>
  <si>
    <t>Moon White, Auburn Black</t>
  </si>
  <si>
    <t>220 cc — 19.03 PS (13.99 kW) @ 8,500 rpm, 17.55 Nm @ 7,000 rpm</t>
  </si>
  <si>
    <t>280 mm disc</t>
  </si>
  <si>
    <t>Single-channel</t>
  </si>
  <si>
    <t>Master listing 1,33,617; detail page separately showed 1,36,691 — discrepancy, verify before quoting</t>
  </si>
  <si>
    <t>Ebony Black, Cocktail Wine Red</t>
  </si>
  <si>
    <t>Single-channel (BikeWale/BikeDekho); 91Wheels' own listing omits ABS entirely — possible non-ABS base variant, verify [T3]</t>
  </si>
  <si>
    <t>Black &amp; White, Black &amp; Red, Blue, Red</t>
  </si>
  <si>
    <t>99.59 cc — 8.2 PS (6.03 kW) @ 7,500 rpm, Not published by Bajaj (official site/manuals checked)</t>
  </si>
  <si>
    <t>4-speed manual [T3]</t>
  </si>
  <si>
    <t>110 mm drum [T3]</t>
  </si>
  <si>
    <t>Not applicable (drum brakes only) — one Tier-3 listing shows an ABS field that appears to be a template artifact; not confirmed [T3]</t>
  </si>
  <si>
    <t>Likely 5 yrs / 75,000 km per company-wide policy — Platina-specific owner's manual PDF was a non-machine-readable scan and could not be individually confirmed</t>
  </si>
  <si>
    <t>Listed as 'Electric start Drum' variant; page phrasing suggests other trims may exist but only this price point was captured</t>
  </si>
  <si>
    <t>115.06 cc — 9.5 PS (6.99 kW) @ 7,500 rpm, 9.9 Nm @ 5,500 rpm</t>
  </si>
  <si>
    <t>5-speed gearbox</t>
  </si>
  <si>
    <t>Likely 5 yrs / 75,000 km per company-wide policy (not individually confirmed for this model)</t>
  </si>
  <si>
    <t>Ex-showroom 74,930; page separately showed an anomalous 'on-road starting from 67,885' (lower than ex-showroom, implausible) — do not use, verify on live site</t>
  </si>
  <si>
    <t>Matte Wild Green, Ebony Black-Red, Ebony Black-Blue</t>
  </si>
  <si>
    <t>115.45 cc — 9.5 PS (6.99 kW) @ 7,500 rpm, 9.9 Nm @ 5,500 rpm</t>
  </si>
  <si>
    <t>Pricing</t>
  </si>
  <si>
    <t>Category 4  ·  Purchase price only. On-road price = ex-showroom + RTO + insurance + registration + accessories — these vary by state/city and are NOT published centrally by Bajaj, so no single on-road figure is asserted here. Use the TCO_Calculator sheet's assumption-driven on-road estimate instead of treating any number here as final. Promotional offers/discounts are deliberately excluded (no update process for them in this workbook).</t>
  </si>
  <si>
    <t>Ex-showroom Price (INR)</t>
  </si>
  <si>
    <t>City/State</t>
  </si>
  <si>
    <t>Effective / Accessed Date</t>
  </si>
  <si>
    <t>Price Source</t>
  </si>
  <si>
    <t>Price Type</t>
  </si>
  <si>
    <t>Notes</t>
  </si>
  <si>
    <t>Delhi</t>
  </si>
  <si>
    <t>2026-09-05</t>
  </si>
  <si>
    <t>bajajauto.com/bikes (master price listing)</t>
  </si>
  <si>
    <t>Ex-showroom</t>
  </si>
  <si>
    <t>Engine / Powertrain (ICE) — Bajaj sells no EV motorcycles; see Brand_Manufacturer for the separate Chetak EV brand</t>
  </si>
  <si>
    <t>Category 5  ·  Amber [T3] cells (transmission/clutch/starting) are filled from 91Wheels/BikeWale/BikeDekho where bajajauto.com omits them.</t>
  </si>
  <si>
    <t>Displacement (cc)</t>
  </si>
  <si>
    <t>Engine Type</t>
  </si>
  <si>
    <t>Max Power</t>
  </si>
  <si>
    <t>Max Torque</t>
  </si>
  <si>
    <t>Clutch</t>
  </si>
  <si>
    <t>Fuel Tank</t>
  </si>
  <si>
    <t>Starting Mechanism</t>
  </si>
  <si>
    <t>Emission Standard</t>
  </si>
  <si>
    <t>4-stroke, air-cooled, bi-fuel (CNG+petrol)</t>
  </si>
  <si>
    <t>9.5 PS (6.99 kW) @ 8,000 rpm</t>
  </si>
  <si>
    <t>9.7 Nm @ 5,000 rpm</t>
  </si>
  <si>
    <t>Slipper clutch (91Wheels) / wet multi-plate (BikeWale) — sources disagree [T3]</t>
  </si>
  <si>
    <t>2 L petrol reserve + 2 kg / 12.5 L CNG tank</t>
  </si>
  <si>
    <t>Kick + self-start (91Wheels) / self-start only (BikeWale) — sources disagree [T3]</t>
  </si>
  <si>
    <t>BS VI (assumed current-lineup compliance; not individually restated on this page)</t>
  </si>
  <si>
    <t>Air-cooled, single spark, 2-valve</t>
  </si>
  <si>
    <t>12 PS (8.83 kW) @ 8,500 rpm</t>
  </si>
  <si>
    <t>11 Nm @ 6,000 rpm</t>
  </si>
  <si>
    <t>Wet multi-plate [T3]</t>
  </si>
  <si>
    <t>9.5 L</t>
  </si>
  <si>
    <t>Kick and self-start [T3]</t>
  </si>
  <si>
    <t>BS VI (assumed)</t>
  </si>
  <si>
    <t>Oil-cooled, 2V (SD/TD/TD-Split) or 4V (S/SS)</t>
  </si>
  <si>
    <t>16 PS @ 8,750 rpm (2V) / 18.5 PS @ 9,500 rpm (4V)</t>
  </si>
  <si>
    <t>14.65 Nm @ 6,750 rpm (2V) / 14.4 Nm @ 8,000 rpm (4V)</t>
  </si>
  <si>
    <t>Assist &amp; Slipper (all variants)</t>
  </si>
  <si>
    <t>14 L</t>
  </si>
  <si>
    <t>Self-start (kick not confirmed) [T3]</t>
  </si>
  <si>
    <t>BS VI (confirmed via owner's manual)</t>
  </si>
  <si>
    <t>Single cylinder, 4-stroke, SOHC, 2-valve, oil-cooled, FI</t>
  </si>
  <si>
    <t>24.5 PS (18 kW) @ 8,750 rpm</t>
  </si>
  <si>
    <t>21.5 Nm @ 6,500 rpm</t>
  </si>
  <si>
    <t>Assist &amp; slipper</t>
  </si>
  <si>
    <t>Self-start [T3]</t>
  </si>
  <si>
    <t>4-stroke, SOHC, 4-valve, air-cooled, BS VI</t>
  </si>
  <si>
    <t>11 Nm @ 7,000 rpm</t>
  </si>
  <si>
    <t>Slipper (91Wheels) / wet multi-plate (BikeWale) — sources disagree [T3]</t>
  </si>
  <si>
    <t>12 L</t>
  </si>
  <si>
    <t>BS VI (stated on page)</t>
  </si>
  <si>
    <t>Oil-cooled, twin spark, 4-valve FI</t>
  </si>
  <si>
    <t>17 PS (12.5 kW) @ 9,000 rpm</t>
  </si>
  <si>
    <t>14.6 Nm @ 7,250 rpm</t>
  </si>
  <si>
    <t>Liquid-cooled, 4-valve FI</t>
  </si>
  <si>
    <t>24.5 PS (18 kW) @ 9,750 rpm</t>
  </si>
  <si>
    <t>18.74 Nm @ 8,000 rpm</t>
  </si>
  <si>
    <t>Slipper clutch [T3]</t>
  </si>
  <si>
    <t>Liquid-cooled</t>
  </si>
  <si>
    <t>40.6 PS (29.42 kW) @ 9,000 rpm</t>
  </si>
  <si>
    <t>33.2 Nm @ 7,500 rpm</t>
  </si>
  <si>
    <t>Liquid-cooled, single-spark 4-valve FI</t>
  </si>
  <si>
    <t>18.7 Nm @ 8,000 rpm</t>
  </si>
  <si>
    <t>13 L</t>
  </si>
  <si>
    <t>BS VI (stated: '200cc BSVI, FI Engine')</t>
  </si>
  <si>
    <t>11.8 PS (8.68 kW) @ 8,500 rpm</t>
  </si>
  <si>
    <t>10.8 Nm @ 6,500 rpm</t>
  </si>
  <si>
    <t>15 L</t>
  </si>
  <si>
    <t>4-stroke, 2-valve, twin spark, BS VI FI</t>
  </si>
  <si>
    <t>14 PS (10.3 kW) @ 8,500 rpm</t>
  </si>
  <si>
    <t>13.25 Nm @ 6,500 rpm</t>
  </si>
  <si>
    <t>BS VI (explicitly stated on page)</t>
  </si>
  <si>
    <t>17 PS (12.5 kW) @ 8,500 rpm</t>
  </si>
  <si>
    <t>15 Nm @ 6,500 rpm</t>
  </si>
  <si>
    <t>Self-start only [T3]</t>
  </si>
  <si>
    <t>20.9 PS (15.37 kW) @ 8,500 rpm</t>
  </si>
  <si>
    <t>18.55 Nm @ 7,000 rpm</t>
  </si>
  <si>
    <t>Liquid-cooled DOHC</t>
  </si>
  <si>
    <t>27 PS (19.85 kW) @ 8,500 rpm</t>
  </si>
  <si>
    <t>23.5 Nm @ 6,500 rpm</t>
  </si>
  <si>
    <t>Wet multi-plate with assist &amp; slipper clutch [T3]</t>
  </si>
  <si>
    <t>Single cylinder, 4-stroke, DOHC, liquid-cooled</t>
  </si>
  <si>
    <t>BS VI (confirmed via owner's-manual family; not this exact model's manual)</t>
  </si>
  <si>
    <t>Single cylinder, oil-cooled, twin-spark DTS-i, FI</t>
  </si>
  <si>
    <t>19.03 PS (13.99 kW) @ 8,500 rpm</t>
  </si>
  <si>
    <t>17.55 Nm @ 7,000 rpm</t>
  </si>
  <si>
    <t>Single cylinder, oil-cooled, twin-spark DTS-i, FI, 4-stroke, SOHC, 2-valve</t>
  </si>
  <si>
    <t>4-stroke, DTS-i, single cylinder</t>
  </si>
  <si>
    <t>8.2 PS (6.03 kW) @ 7,500 rpm</t>
  </si>
  <si>
    <t>11 L</t>
  </si>
  <si>
    <t>Electric start</t>
  </si>
  <si>
    <t>BS VI (assumed; Platina-specific manual not machine-readable)</t>
  </si>
  <si>
    <t>4-stroke, single cylinder, DTS-i</t>
  </si>
  <si>
    <t>9.5 PS (6.99 kW) @ 7,500 rpm</t>
  </si>
  <si>
    <t>9.9 Nm @ 5,500 rpm</t>
  </si>
  <si>
    <t>Dimensions &amp; Ergonomics</t>
  </si>
  <si>
    <t>Category 8  ·  Bajaj's own marketing pages omit almost all L/W/H/seat-height/kerb-weight figures. Amber cells marked [T3] are filled from 91Wheels/BikeWale/BikeDekho spec-aggregator pages (Tier 3, re-publishing manufacturer spec sheets) — genuinely absent fields (red italic) remain unfilled rather than guessed.</t>
  </si>
  <si>
    <t>Length (mm)</t>
  </si>
  <si>
    <t>Width (mm)</t>
  </si>
  <si>
    <t>Height (mm)</t>
  </si>
  <si>
    <t>Wheelbase (mm)</t>
  </si>
  <si>
    <t>Ground Clearance (mm)</t>
  </si>
  <si>
    <t>Seat Height (mm)</t>
  </si>
  <si>
    <t>Kerb Weight (kg)</t>
  </si>
  <si>
    <t>Fuel Tank (L)</t>
  </si>
  <si>
    <t>1,340 mm [T3]</t>
  </si>
  <si>
    <t>170 mm [T3]</t>
  </si>
  <si>
    <t>825 mm [T3]</t>
  </si>
  <si>
    <t>~148 kg (147.8-149 kg across sources) [T3]</t>
  </si>
  <si>
    <t>1,295 mm</t>
  </si>
  <si>
    <t>198 mm</t>
  </si>
  <si>
    <t>795 mm [T3]</t>
  </si>
  <si>
    <t>125 kg</t>
  </si>
  <si>
    <t>1,989 mm [T3]</t>
  </si>
  <si>
    <t>743 mm [T3]</t>
  </si>
  <si>
    <t>1,050 mm [T3]</t>
  </si>
  <si>
    <t>1,358 mm</t>
  </si>
  <si>
    <t>165 mm [T3]</t>
  </si>
  <si>
    <t>795 mm</t>
  </si>
  <si>
    <t>154 kg [T3]</t>
  </si>
  <si>
    <t>1,342-1,351 mm (sources vary) [T3]</t>
  </si>
  <si>
    <t>795-800 mm (sources vary) [T3]</t>
  </si>
  <si>
    <t>162-164 kg (sources vary) [T3]</t>
  </si>
  <si>
    <t>2,018 mm [T3]</t>
  </si>
  <si>
    <t>810 mm [T3]</t>
  </si>
  <si>
    <t>1,078 mm [T3]</t>
  </si>
  <si>
    <t>1,353-1,370 mm (sources vary) [T3]</t>
  </si>
  <si>
    <t>178-179 mm [T3]</t>
  </si>
  <si>
    <t>805 mm [T3]</t>
  </si>
  <si>
    <t>144-146 kg [T3]</t>
  </si>
  <si>
    <t>2,017 mm [T3]</t>
  </si>
  <si>
    <t>804 mm [T3]</t>
  </si>
  <si>
    <t>1,060 mm [T3]</t>
  </si>
  <si>
    <t>1,372 mm [T3]</t>
  </si>
  <si>
    <t>170-176 mm [T3]</t>
  </si>
  <si>
    <t>152 kg [T3]</t>
  </si>
  <si>
    <t>1,075 mm [T3]</t>
  </si>
  <si>
    <t>1,363 mm [T3]</t>
  </si>
  <si>
    <t>168 mm [T3]</t>
  </si>
  <si>
    <t>158 kg [T3]</t>
  </si>
  <si>
    <t>1,990 mm [T3]</t>
  </si>
  <si>
    <t>846 mm [T3]</t>
  </si>
  <si>
    <t>1,057 mm [T3]</t>
  </si>
  <si>
    <t>1,346 mm [T3]</t>
  </si>
  <si>
    <t>176 kg [T3]</t>
  </si>
  <si>
    <t>1,999 mm [T3]</t>
  </si>
  <si>
    <t>765 mm [T3]</t>
  </si>
  <si>
    <t>1,114 mm [T3]</t>
  </si>
  <si>
    <t>1,345 mm [T3]</t>
  </si>
  <si>
    <t>157 mm [T3]</t>
  </si>
  <si>
    <t>166 kg [T3]</t>
  </si>
  <si>
    <t>2,055 mm [T3]</t>
  </si>
  <si>
    <t>755 mm [T3]</t>
  </si>
  <si>
    <t>1,320 mm [T3]</t>
  </si>
  <si>
    <t>184 mm [T3]</t>
  </si>
  <si>
    <t>131 kg [T3] (Bajaj's own page meta description separately stated 150 kg — discrepancy, verify)</t>
  </si>
  <si>
    <t>1,320 mm</t>
  </si>
  <si>
    <t>785 mm [T3]</t>
  </si>
  <si>
    <t>148-150 kg [T3] (matches page meta description of 150 kg)</t>
  </si>
  <si>
    <t>2,035 mm [T3]</t>
  </si>
  <si>
    <t>1,115 mm [T3]</t>
  </si>
  <si>
    <t>1,340 mm</t>
  </si>
  <si>
    <t>790 mm [T3]</t>
  </si>
  <si>
    <t>151 kg [T3]</t>
  </si>
  <si>
    <t>750 mm [T3]</t>
  </si>
  <si>
    <t>1,165 mm [T3]</t>
  </si>
  <si>
    <t>1,350 mm [T3]</t>
  </si>
  <si>
    <t>160 kg [T3]</t>
  </si>
  <si>
    <t>2,156 mm [T3]</t>
  </si>
  <si>
    <t>836 mm [T3]</t>
  </si>
  <si>
    <t>1,112 mm [T3]</t>
  </si>
  <si>
    <t>1,453 mm [T3]</t>
  </si>
  <si>
    <t>800 mm [T3]</t>
  </si>
  <si>
    <t>180 kg [T3]</t>
  </si>
  <si>
    <t>863 mm [T3]</t>
  </si>
  <si>
    <t>1,243 mm [T3]</t>
  </si>
  <si>
    <t>192 kg [T3]</t>
  </si>
  <si>
    <t>2,210 mm [T3]</t>
  </si>
  <si>
    <t>806 mm [T3]</t>
  </si>
  <si>
    <t>1,321 mm [T3]</t>
  </si>
  <si>
    <t>1,490 mm [T3]</t>
  </si>
  <si>
    <t>169 mm [T3]</t>
  </si>
  <si>
    <t>737 mm [T3]</t>
  </si>
  <si>
    <t>163 kg [T3]</t>
  </si>
  <si>
    <t>1,070 mm [T3]</t>
  </si>
  <si>
    <t>2,003 mm [T3]</t>
  </si>
  <si>
    <t>704 mm [T3]</t>
  </si>
  <si>
    <t>1,069 mm [T3]</t>
  </si>
  <si>
    <t>1,255 mm [T3]</t>
  </si>
  <si>
    <t>200 mm [T3]</t>
  </si>
  <si>
    <t>807 mm [T3]</t>
  </si>
  <si>
    <t>117 kg [T3]</t>
  </si>
  <si>
    <t>2,006 mm [T3]</t>
  </si>
  <si>
    <t>729 mm [T3]</t>
  </si>
  <si>
    <t>1,100 mm [T3]</t>
  </si>
  <si>
    <t>116 kg [T3]</t>
  </si>
  <si>
    <t>1,998 mm [T3]</t>
  </si>
  <si>
    <t>788 mm [T3]</t>
  </si>
  <si>
    <t>1,098 mm [T3]</t>
  </si>
  <si>
    <t>1,285 mm [T3]</t>
  </si>
  <si>
    <t>124 kg [T3]</t>
  </si>
  <si>
    <t>Safety &amp; Chassis / Suspension / Handling</t>
  </si>
  <si>
    <t>Categories 10-11  ·  Objective specs only — no 'safest bike' claims. Compare ABS configuration and brake sizing directly per the brief's guidance. Amber [T3] cells are filled from 91Wheels/BikeWale/BikeDekho where bajajauto.com doesn't publish the figure.</t>
  </si>
  <si>
    <t>Frame/Chassis</t>
  </si>
  <si>
    <t>Front Suspension</t>
  </si>
  <si>
    <t>Rear Suspension</t>
  </si>
  <si>
    <t>Front Tyre</t>
  </si>
  <si>
    <t>Rear Tyre</t>
  </si>
  <si>
    <t>Wheel Type/Size</t>
  </si>
  <si>
    <t>Protective Trellis Frame</t>
  </si>
  <si>
    <t>Telescopic fork (travel not found) [T3]</t>
  </si>
  <si>
    <t>Mono-linked type, double-rate spring (travel Not published by Bajaj (official site/manuals checked))</t>
  </si>
  <si>
    <t>17 in wheel; exact tyre size not found [T3]</t>
  </si>
  <si>
    <t>120/70-16</t>
  </si>
  <si>
    <t>Alloy; front 17", rear 16" [T3]</t>
  </si>
  <si>
    <t>Perimeter frame (91Wheels) / diamond frame (BikeWale) — sources disagree [T3]</t>
  </si>
  <si>
    <t>Telescopic, 125 mm travel</t>
  </si>
  <si>
    <t>Monoshock, 125 mm travel</t>
  </si>
  <si>
    <t>80/100-17</t>
  </si>
  <si>
    <t>110/80-17 (tubeless)</t>
  </si>
  <si>
    <t>Alloy, 17 in front &amp; rear, tubeless tyres [T3]</t>
  </si>
  <si>
    <t>Tubular frame [T3]</t>
  </si>
  <si>
    <t>33 mm USD (2V) / 37 mm USD (4V S/SS)</t>
  </si>
  <si>
    <t>Monoshock, 120 mm stroke (SD/TD) / 130 mm stroke (TD Split/S/SS)</t>
  </si>
  <si>
    <t>110/70-17</t>
  </si>
  <si>
    <t>130/70-17 (radial on SS)</t>
  </si>
  <si>
    <t>Alloy, 17 in [T3]</t>
  </si>
  <si>
    <t>Golden USD forks (travel Not published by Bajaj (official site/manuals checked))</t>
  </si>
  <si>
    <t>Nitrox Monoshock (travel Not published by Bajaj (official site/manuals checked))</t>
  </si>
  <si>
    <t>110/70-R17 [T3]</t>
  </si>
  <si>
    <t>140/70-R17 [T3]</t>
  </si>
  <si>
    <t>Perimeter frame</t>
  </si>
  <si>
    <t>Telescopic (travel not found) [T3]</t>
  </si>
  <si>
    <t>Monoshock (type/travel Not published by Bajaj (official site/manuals checked))</t>
  </si>
  <si>
    <t>17 in wheel; exact tyre spec not found [T3]</t>
  </si>
  <si>
    <t>Alloy, 17 in front &amp; rear [T3]</t>
  </si>
  <si>
    <t>USD forks (travel Not published by Bajaj (official site/manuals checked))</t>
  </si>
  <si>
    <t>Nitrox monoshock w/ canister (travel Not published by Bajaj (official site/manuals checked))</t>
  </si>
  <si>
    <t>Nitrox monoshock w/ canister (travel not found) [T3]</t>
  </si>
  <si>
    <t>R17 (exact tyre spec not found) [T3]</t>
  </si>
  <si>
    <t>R17 wheel; alloy/spoke designation not found [T3]</t>
  </si>
  <si>
    <t>Hydroformed tubular ('street-fighter' perimeter-style) frame [T3]</t>
  </si>
  <si>
    <t>43 mm USD forks (travel Not published by Bajaj (official site/manuals checked))</t>
  </si>
  <si>
    <t>Monoshock with Nitrox, 6-step adjustable preload (travel not found) [T3]</t>
  </si>
  <si>
    <t>Radial</t>
  </si>
  <si>
    <t>Radial, 150-section</t>
  </si>
  <si>
    <t>Telescopic w/ anti-friction bush (travel Not published by Bajaj (official site/manuals checked))</t>
  </si>
  <si>
    <t>140/70-17</t>
  </si>
  <si>
    <t>17 in</t>
  </si>
  <si>
    <t>Double-cradle frame [T3]</t>
  </si>
  <si>
    <t>Telescopic, 31 mm, 125 mm travel [T3]</t>
  </si>
  <si>
    <t>Monoshock, 110 mm travel [T3]</t>
  </si>
  <si>
    <t>80/100-17 [T3]</t>
  </si>
  <si>
    <t>100/90-17 [T3]</t>
  </si>
  <si>
    <t>Alloy, ~17 in [T3]</t>
  </si>
  <si>
    <t>Double cradle frame [T3]</t>
  </si>
  <si>
    <t>Telescopic, 33 mm, 125 mm travel [T3]</t>
  </si>
  <si>
    <t>Twin Hydraulic / adjustable Nitrox rear suspension, ~110 mm travel [T3]</t>
  </si>
  <si>
    <t>Telescopic, 37 mm fork (travel not found) [T3]</t>
  </si>
  <si>
    <t>Twin shock absorber, gas-filled w/ canister (travel Not published by Bajaj (official site/manuals checked))</t>
  </si>
  <si>
    <t>90/90-17 [T3]</t>
  </si>
  <si>
    <t>120/80-17 [T3]</t>
  </si>
  <si>
    <t>Double cradle down-tube frame [T3]</t>
  </si>
  <si>
    <t>Telescopic, 37 mm, with anti-friction bush (travel not found) [T3]</t>
  </si>
  <si>
    <t>Twin Hydraulic Suspension, 5-step adjustable Nitrox (travel Not published by Bajaj (official site/manuals checked))</t>
  </si>
  <si>
    <t>Twin-spar perimeter frame</t>
  </si>
  <si>
    <t>37 mm USD forks, 135 mm travel [T3]</t>
  </si>
  <si>
    <t>Multi-step adjustable Nitrox monoshock, 110 mm wheel stroke</t>
  </si>
  <si>
    <t>100/80-17 [T3]</t>
  </si>
  <si>
    <t>130/70-17 [T3]</t>
  </si>
  <si>
    <t>43 mm USD forks, 135 mm travel [T3]</t>
  </si>
  <si>
    <t>110/70-17 [T3]</t>
  </si>
  <si>
    <t>150/60-17 [T3]</t>
  </si>
  <si>
    <t>Tubular double-cradle frame [T3]</t>
  </si>
  <si>
    <t>Telescopic with double anti-friction bush (travel not found) [T3]</t>
  </si>
  <si>
    <t>5-step adjustable twin shock absorber</t>
  </si>
  <si>
    <t>130/90-17 [T3]</t>
  </si>
  <si>
    <t>Spoke, 17 in front &amp; rear [T3]</t>
  </si>
  <si>
    <t>130/90-15 [T3]</t>
  </si>
  <si>
    <t>Alloy — front 17 in, rear 15 in [T3]</t>
  </si>
  <si>
    <t>Tubular single down-tube with lower cradle [T3]</t>
  </si>
  <si>
    <t>Hydraulic telescopic, 135 mm travel [T3]</t>
  </si>
  <si>
    <t>110 mm, Spring-in-Spring suspension</t>
  </si>
  <si>
    <t>2.75-17 [T3]</t>
  </si>
  <si>
    <t>3.00-17 [T3]</t>
  </si>
  <si>
    <t>SOS (Spring-Over-Spring) w/ Nitrox canister, 110 mm wheel stroke</t>
  </si>
  <si>
    <t>Square-tube, single down-tube with lower cradle [T3]</t>
  </si>
  <si>
    <t>Hydraulic telescopic, 125 mm travel [T3]</t>
  </si>
  <si>
    <t>Spring-in-Spring (SNS), 100 mm wheel travel</t>
  </si>
  <si>
    <t>Semi-knobby, 2.75-17 [T3]</t>
  </si>
  <si>
    <t>Semi-knobby, 3.00-17 [T3]</t>
  </si>
  <si>
    <t>Technology &amp; Features</t>
  </si>
  <si>
    <t>Category 12  ·  Instrumentation, Bluetooth/connectivity, ride modes, convenience features</t>
  </si>
  <si>
    <t>Instrument Cluster</t>
  </si>
  <si>
    <t>Connectivity / Smart Features</t>
  </si>
  <si>
    <t>Fully digital speedometer</t>
  </si>
  <si>
    <t>Bluetooth — call alerts w/ caller ID, missed-call indication, battery life</t>
  </si>
  <si>
    <t>Digital console (Bluetooth on select variant)</t>
  </si>
  <si>
    <t>Call accept/reject, missed-call/message alerts, fuel/economy readouts; USB charging</t>
  </si>
  <si>
    <t>Monochrome LCD (SD/TD) / 5in colour LCD (S) / 5in TFT (SS)</t>
  </si>
  <si>
    <t>Bluetooth all; WiFi + Google Maps mirroring, turn-by-turn nav on SS</t>
  </si>
  <si>
    <t>Connected digital console</t>
  </si>
  <si>
    <t>Bluetooth, navigation, ride modes, traction control</t>
  </si>
  <si>
    <t>Bluetooth-enabled digital console</t>
  </si>
  <si>
    <t>Navigation &amp; smart connectivity</t>
  </si>
  <si>
    <t>Bluetooth-connected digital console</t>
  </si>
  <si>
    <t>Navigation, ABS ride modes, USB charging, all-LED lighting</t>
  </si>
  <si>
    <t>Gear-position indicator, distance-to-empty, turn-by-turn nav, ABS ride modes</t>
  </si>
  <si>
    <t>Bluetooth-enabled connected console, bonded-glass LCD</t>
  </si>
  <si>
    <t>Calls, music, lap timing, navigation</t>
  </si>
  <si>
    <t>Digital console w/ Bluetooth, bonded-glass LCD</t>
  </si>
  <si>
    <t>ABS ride modes (Road/Rain/Off-road)</t>
  </si>
  <si>
    <t>TFT display</t>
  </si>
  <si>
    <t>Bluetooth connectivity, turn-by-turn navigation, USB Type-C charging (optional), low-battery alert via app [T3]</t>
  </si>
  <si>
    <t>Digital console w/ Bluetooth (select variant); analogue on base SD</t>
  </si>
  <si>
    <t>USB charging, all-LED lighting</t>
  </si>
  <si>
    <t>Fully digital LCD console w/ Bluetooth</t>
  </si>
  <si>
    <t>Connected digital console features</t>
  </si>
  <si>
    <t>Digital console w/ Bluetooth</t>
  </si>
  <si>
    <t>Connected digital console, navigation</t>
  </si>
  <si>
    <t>Bonded digital speedometer w/ integrated speedo flap</t>
  </si>
  <si>
    <t>4 ride modes (Road/Rain/Sport/Off-Road); switchable ETC; full LED w/ auto headlamp-on, 4 headlamp modes</t>
  </si>
  <si>
    <t>4 ride modes (Road/Rain/Sport/Off-Road); switchable ETC; built-in bungee straps; 4-mode LED headlamp</t>
  </si>
  <si>
    <t>Digital (LCD) — speedometer, odometer, dual trip meters, fuel gauge, clock [T3]</t>
  </si>
  <si>
    <t>AHO (auto headlamp on), DRLs — no Bluetooth/navigation/USB found [T3]</t>
  </si>
  <si>
    <t>Digital [T3]</t>
  </si>
  <si>
    <t>AHO, hazard warning indicator, pillion grab rail, LED turn indicators, low-battery indicator, split-key shutter lock — no Bluetooth/navigation/USB found [T3]</t>
  </si>
  <si>
    <t>Analogue (2 of 3 Tier-3 sources; one source states digital — flagged) [T3]</t>
  </si>
  <si>
    <t>LED DRL only — no Bluetooth/navigation/USB found [T3]</t>
  </si>
  <si>
    <t>Analogue-digital combination (analogue speedo; digital odo/trip/fuel/clock) [T3]</t>
  </si>
  <si>
    <t>LED DRL, hand guards, tank guard; USB charging port [T3]</t>
  </si>
  <si>
    <t>Analogue [T3]</t>
  </si>
  <si>
    <t>USB charging port — no Bluetooth/navigation found [T3]</t>
  </si>
  <si>
    <t>Warranty &amp; Maintenance</t>
  </si>
  <si>
    <t>Categories 15 &amp; 17  ·  Confirmed directly on Pulsar N160 &amp; Dominar 250 owner's manuals; applied as company-wide policy elsewhere and flagged where not individually verified.</t>
  </si>
  <si>
    <t>First Service</t>
  </si>
  <si>
    <t>Periodic Service Interval</t>
  </si>
  <si>
    <t>Engine Oil Grade</t>
  </si>
  <si>
    <t>500-750 km (free)</t>
  </si>
  <si>
    <t>10,000 km oil change / 5,000 km check</t>
  </si>
  <si>
    <t xml:space="preserve">Bajaj 10000-series oil (grade varies by model; not individually confirmed) </t>
  </si>
  <si>
    <t>Applied from Pulsar N160 / Dominar 250 manuals — not individually confirmed for this model</t>
  </si>
  <si>
    <t>Bajaj 10000 SAE 20W50, JASO MA2, API SN</t>
  </si>
  <si>
    <t>Owner's manual (this model)</t>
  </si>
  <si>
    <t>Bajaj 10000 SAE 10W50 fully synthetic, JASO MA2, API SN</t>
  </si>
  <si>
    <t>Performance &amp; Mileage — Manufacturer Claim vs Independent Test (never merged)</t>
  </si>
  <si>
    <t>Categories 6-7  ·  Bajaj's own pages rarely state 0-60/0-100/top-speed or ARAI mileage; where a claim column is empty, Bajaj has not published one.</t>
  </si>
  <si>
    <t>OEM Claimed Mileage (Tier 1/ARAI)</t>
  </si>
  <si>
    <t>Independent Mileage (Tier 3)</t>
  </si>
  <si>
    <t>Mileage Source</t>
  </si>
  <si>
    <t>OEM Claimed Performance</t>
  </si>
  <si>
    <t>Independent Performance (Tier 3)</t>
  </si>
  <si>
    <t>Performance Source</t>
  </si>
  <si>
    <t>CNG ~100 km/kg (site claim); petrol reserve range ~130 km</t>
  </si>
  <si>
    <t>104 km/kg city (relaxed) / 80 km/kg highway (BikeWale test); 85 km/kg over 140km mixed (ZigWheels)</t>
  </si>
  <si>
    <t>BikeWale, ZigWheels (Tier 3)</t>
  </si>
  <si>
    <t>Not published by Bajaj on model pages</t>
  </si>
  <si>
    <t>60 km/l (ARAI, as republished by 91Wheels/BikeWale) [T3]</t>
  </si>
  <si>
    <t>Not found on Tier-3 sites checked (91Wheels/BikeWale/BikeDekho/ZigWheels) as a distinct figure from N160</t>
  </si>
  <si>
    <t>51.6 km/l (ARAI, per Tier-3 citation)</t>
  </si>
  <si>
    <t>47 km/l owner-reported (range 46-55)</t>
  </si>
  <si>
    <t>BikeWale (Tier 3)</t>
  </si>
  <si>
    <t>44 km/l (ARAI, per Tier-3 citation)</t>
  </si>
  <si>
    <t>40 km/l aggregate (BikeWale); 30-37 km/l avg, peak 49 km/l over 3,395 km long-term test (MotorBeam)</t>
  </si>
  <si>
    <t>BikeWale, MotorBeam (Tier 3)</t>
  </si>
  <si>
    <t>46.9 km/l (ARAI, per Tier-3 citation)</t>
  </si>
  <si>
    <t>Site (91Wheels) flags 'insufficient data' — no reliable figure</t>
  </si>
  <si>
    <t>91Wheels (Tier 3)</t>
  </si>
  <si>
    <t>52.2 km/l (ARAI, per Tier-3 citation)</t>
  </si>
  <si>
    <t>44 km/l owner-reported</t>
  </si>
  <si>
    <t>36 km/l (ARAI, per Tier-3 citation)</t>
  </si>
  <si>
    <t>Site (91Wheels) flags 'insufficient data' despite the model's popularity</t>
  </si>
  <si>
    <t>0-60 km/h 4.21 s; 0-100 km/h 11.68 s (quickest of a 3-bike comparison test)</t>
  </si>
  <si>
    <t>ZigWheels 3-way comparo w/ Apache RTR 200 4V &amp; Hornet 2.0 (Tier 3)</t>
  </si>
  <si>
    <t>Up to 28.5 km/l (ARAI, as republished by 91Wheels) [T3]</t>
  </si>
  <si>
    <t>27.52 km/l city / 29.62 km/l highway ('not particularly impressive for this engine size' per reviewer)</t>
  </si>
  <si>
    <t>Autocar India road test (Tier 3)</t>
  </si>
  <si>
    <t>0-100 km/h 'just under 7 seconds' in wet conditions; top speed not independently confirmed</t>
  </si>
  <si>
    <t>Autocar India (Tier 3)</t>
  </si>
  <si>
    <t>Up to 35 km/l (ARAI, as republished by 91Wheels) [T3]</t>
  </si>
  <si>
    <t>36.5 km/l during a MotorBeam test ride</t>
  </si>
  <si>
    <t>MotorBeam (Tier 3)</t>
  </si>
  <si>
    <t>0-60 km/h 3.92 s; 0-100 km/h 10.12 s; top speed 141 km/h on VBOX (console over-read 152 km/h)</t>
  </si>
  <si>
    <t>MotorBeam test-ride review (Tier 3)</t>
  </si>
  <si>
    <t>ARAI range ~50-55 km/l per BikeDekho [T3]</t>
  </si>
  <si>
    <t>~30-60 km/l range cited; ~50 km/l 'optimistic middle'</t>
  </si>
  <si>
    <t>47.5 km/l (ARAI, per BikeDekho) [T3]</t>
  </si>
  <si>
    <t>45-52 km/l city, 50-65 km/l highway (owner range 33-60 km/l)</t>
  </si>
  <si>
    <t>Too newly relaunched (2026) — no independent data found yet</t>
  </si>
  <si>
    <t>43 km/l owner-reported (one owner: 45 km/l after 15,000+ km)</t>
  </si>
  <si>
    <t>32 km/l (ARAI, explicitly labeled by 91Wheels; BikeDekho separately shows an unlabeled ~35 km/l figure) [T3]</t>
  </si>
  <si>
    <t>32 km/l owner-reported</t>
  </si>
  <si>
    <t>30 km/l (ARAI, explicitly labeled by 91Wheels) [T3]</t>
  </si>
  <si>
    <t>30 kmpl owner-reported (range 25-30); one 10,000km owner cites ~22-24 kmpl</t>
  </si>
  <si>
    <t>BikeWale, Team-BHP (Tier 3)</t>
  </si>
  <si>
    <t>0-100 km/h ~8.5 s independent estimate (vs 8.23s claimed); top speed ~145 km/h tested (vs 148 km/h claimed); speedo over-reads to 165-170</t>
  </si>
  <si>
    <t>CarBlogIndia (Tier 3, lower-confidence — not a flagship publication)</t>
  </si>
  <si>
    <t>40 km/l (ARAI) [T3]</t>
  </si>
  <si>
    <t>39 kmpl owner-average (range 28-50)</t>
  </si>
  <si>
    <t>No distinct figure found separate from the Cruise variant</t>
  </si>
  <si>
    <t>70 km/l (ARAI, per BikeDekho) [T3]</t>
  </si>
  <si>
    <t>65-88 kmpl typical; one owner as low as 56 kmpl vs an expected ~85 kmpl</t>
  </si>
  <si>
    <t>BikeWale reviews (Tier 3)</t>
  </si>
  <si>
    <t>70 km/l (ARAI) [T3]</t>
  </si>
  <si>
    <t>70 kmpl owner-reported average (range ~50-70)</t>
  </si>
  <si>
    <t>70 kmpl (ARAI, per Tier-3 citation)</t>
  </si>
  <si>
    <t>~75 kmpl in a '100ml fuel' video test</t>
  </si>
  <si>
    <t>IndianAutosBlog, ZigWheels (Tier 3)</t>
  </si>
  <si>
    <t>Competitor Information</t>
  </si>
  <si>
    <t>Category 24  ·  Identified from reputable auto-publication comparisons — not exhaustive, and never framed as 'only consider Bajaj'. Use alongside Performance_Mileage and Variants to build cross-brand shortlists.</t>
  </si>
  <si>
    <t>Direct/Segment Competitors</t>
  </si>
  <si>
    <t>Source (Tier 3)</t>
  </si>
  <si>
    <t>Rushlane, ZigWheels (Tier 3)</t>
  </si>
  <si>
    <t>Rushlane (Tier 3)</t>
  </si>
  <si>
    <t>General segment framing, BikeWale/ZigWheels (Tier 3)</t>
  </si>
  <si>
    <t>ZigWheels 4-way comparo (Tier 3)</t>
  </si>
  <si>
    <t>General segment framing (Tier 3)</t>
  </si>
  <si>
    <t>Autocar India, ZigWheels, MotorBeam (Tier 3)</t>
  </si>
  <si>
    <t>BikeWale, Autocar India (Tier 3)</t>
  </si>
  <si>
    <t>Editorial framing (Tier 3, low confidence)</t>
  </si>
  <si>
    <t>BikeDekho launch coverage (Tier 3)</t>
  </si>
  <si>
    <t>BikeWale comparison page (Tier 3)</t>
  </si>
  <si>
    <t>BikeWale 4-way comparison (Tier 3)</t>
  </si>
  <si>
    <t>BikeWale, Autocar India, Outlook India (Tier 3)</t>
  </si>
  <si>
    <t>ZigWheels, 91Wheels (Tier 3)</t>
  </si>
  <si>
    <t>Autocar India, 91Wheels (Tier 3)</t>
  </si>
  <si>
    <t>BikeDekho (Tier 3)</t>
  </si>
  <si>
    <t>Customer Reviews / Real-World Experience</t>
  </si>
  <si>
    <t>Category 25  ·  AGGREGATED SENTIMENT, not verified fact — never present as objective truth. Distinguished explicitly from official Bajaj facts elsewhere in this workbook.</t>
  </si>
  <si>
    <t>Model Family</t>
  </si>
  <si>
    <t>Common Praise (aggregated sentiment)</t>
  </si>
  <si>
    <t>Common Complaints (aggregated sentiment)</t>
  </si>
  <si>
    <t>Source(s)</t>
  </si>
  <si>
    <t>Tier</t>
  </si>
  <si>
    <t>Pulsar (125-400cc range)</t>
  </si>
  <si>
    <t>Engine refinement/exhaust note often called best-in-class within Bajaj's range (esp. N250); strong low-end acceleration and city agility; long-term engine durability reported by very high-mileage owners (100,000+ km cases).</t>
  </si>
  <si>
    <t>Recurring electrical/CDI and speedometer faults on older-generation models; carb/FI driveability issues (rough idle, hesitation) tied to fuel quality; noticeable vibration above ~90 km/h on newer models (N250 long-term test); clutch/gear-shift roughness in stop-go traffic; sporadic brake-related defects persisting through multiple service visits.</t>
  </si>
  <si>
    <t>eAuto ('15 Common Pulsar Problems'); MotorBeam N250 long-term final report; Team-BHP Pulsar 135 vibration thread; Quora sentiment thread (lowest-confidence)</t>
  </si>
  <si>
    <t>Tier 3/4</t>
  </si>
  <si>
    <t>Dominar (250/400)</t>
  </si>
  <si>
    <t>'Big bike feel' and road presence disproportionate to price; confident braking (dual-channel ABS, large front disc); torquey engine; reliability over high mileage reported by long-term owners; value-for-money vs KTM 390 Duke.</t>
  </si>
  <si>
    <t>Persistent low/mid-RPM vibration is the single most repeated complaint (dealers reportedly offer an informal fix); uncomfortable pillion seat; parking/low-speed handling challenged by weight; component niggles in long-term ownership (rear disc brake noise ~4,500-5,500 km, clutch cable replacement ~7,500 km, rocker-arm ticking); a forum thread flags rust/reliability regret on one ABS unit.</t>
  </si>
  <si>
    <t>Team-BHP 10,000 km Dominar D400 review; Cartoq vibration piece; Team-BHP 'Rust, Reliability &amp; Regret' thread</t>
  </si>
  <si>
    <t>Platina (100/110)</t>
  </si>
  <si>
    <t>Mileage is the dominant, near-universal praise point (self-reported figures up to 81-88 kmpl); strong long-term durability claims (one owner cites 150,000 km without breakdown); low running/service costs; good low-speed city maneuverability.</t>
  </si>
  <si>
    <t>Weak top-end performance — several owners note it struggles past 55-60 km/h and isn't suited to highway use; stability concerns at speed or when larger vehicles pass (safety-relevant); underpowered headlight for night riding; brakes cited as a weak point by several reviewers; occasional mileage-vs-claim gap (one owner: 56 kmpl vs an expected ~85).</t>
  </si>
  <si>
    <t>BikeWale Platina 100 reviews</t>
  </si>
  <si>
    <t>Tier 4</t>
  </si>
  <si>
    <t>Freedom 125 (CNG)</t>
  </si>
  <si>
    <t>Genuinely competitive running-cost economics (cited as low as ₹1/km); mileage broadly meets or exceeds ARAI in city conditions per BikeWale's own test.</t>
  </si>
  <si>
    <t>Higher service costs than comparable 100cc petrol bikes (CNG-specific components + periodic cylinder inspection); inconsistent/fluctuating RPM blamed on injector/multi-sensor CNG system; repeated auto-choke engagement at cold start reducing real efficiency; at least one detailed review reports service-center technicians lacking training on CNG-specific issues. Sentiment sample is thin — this is a 2025-era launch, not a mature multi-year track record.</t>
  </si>
  <si>
    <t>BikeWale owner review ('Don't buy this bike' — single detailed review, anecdotal); BikeWale &amp; ZigWheels mileage test pieces</t>
  </si>
  <si>
    <t>Service Network &amp; Official Accessories</t>
  </si>
  <si>
    <t>Categories 22-23  ·  Tier 1 official</t>
  </si>
  <si>
    <t>Network scale</t>
  </si>
  <si>
    <t>700+ dealers, 3,000 authorized service dealers, 100 spare-part distributors, 1,000 priority retailers across India.</t>
  </si>
  <si>
    <t>Network branding</t>
  </si>
  <si>
    <t>No current official page uses 'Bajaj ProBiking' — outlets referred to generically as 'Bajaj authorised (service) dealers'.</t>
  </si>
  <si>
    <t>bajajauto.com (site-wide)</t>
  </si>
  <si>
    <t>Service locator</t>
  </si>
  <si>
    <t>https://www.bajajauto.com/customer-service/locate-a-dealer — search by Sales/Service, state/city, or auto-location.</t>
  </si>
  <si>
    <t>bajajauto.com/customer-service/locate-a-dealer</t>
  </si>
  <si>
    <t>Service booking</t>
  </si>
  <si>
    <t>Not published by Bajaj (official site/manuals checked). bajajauto.com's documented 'Online Booking' flow (onlinebooking-faqs) is for vehicle PURCHASE, not service appointments. A 'Bajaj Care' app exists on app stores but is not referenced from bajajauto.com itself.</t>
  </si>
  <si>
    <t>bajajauto.com/onlinebooking-faqs</t>
  </si>
  <si>
    <t>Roadside assistance (Bajaj-badged bikes)</t>
  </si>
  <si>
    <t>Not published by Bajaj (official site/manuals checked) — no program name found for Bajaj motorcycles. (KTM, a brand distributed by Bajaj, has its own separate 5-yr warranty + RSA program — not applicable to Bajaj-badged bikes.)</t>
  </si>
  <si>
    <t>bajajauto.com/corporate/media-centre (KTM press release, distinct brand)</t>
  </si>
  <si>
    <t>Genuine spare parts</t>
  </si>
  <si>
    <t>Ordered via a 'Bajaj Genuine Parts' app; covers brake shoes, cables, sprockets, filters, spark plugs, shock absorbers, headlamps, lubricants.</t>
  </si>
  <si>
    <t>bajajauto.com/customer-service/spares/learn-more-about-the-parts</t>
  </si>
  <si>
    <t>Accessories — Dominar 400</t>
  </si>
  <si>
    <t>Factory-fitted 'Touring Accessories' range: engine bash plate, leg guard, hand guards, tall visor, navigation stay, USB charging port, redesigned carrier + passenger backrest, separately-sold saddle stay for panniers. No prices published.</t>
  </si>
  <si>
    <t>bajajauto.com/blogs/bajaj-dominar-400-touring-accessories</t>
  </si>
  <si>
    <t>Accessories — Freedom 125</t>
  </si>
  <si>
    <t>2-litre auxiliary petrol reserve tank with handlebar switch (standard/factory feature, not an add-on catalogue item). No price shown.</t>
  </si>
  <si>
    <t>bajajauto.com/bikes/bajaj-freedom/bajaj-freedom-125-ng04</t>
  </si>
  <si>
    <t>Accessories — other models</t>
  </si>
  <si>
    <t>Not published by Bajaj (official site/manuals checked) — no dedicated priced accessories catalogue (top box, panniers, crash guards as standalone SKUs) found for Pulsar/Avenger/Platina/CT on bajajauto.com.</t>
  </si>
  <si>
    <t>bajajauto.com (site-wide search)</t>
  </si>
  <si>
    <t>Regulatory / Environmental</t>
  </si>
  <si>
    <t>Category 26  ·  Kept separate since regulations change independently of vehicle specs</t>
  </si>
  <si>
    <t>Emission standard</t>
  </si>
  <si>
    <t>BS VI, confirmed explicitly in Pulsar N160 &amp; Dominar 250 owner's manuals ('complies to BS VI standards') and stated on the Pulsar 150/NS125/RS200 pages. Applied as current-lineup baseline for all 20 models (India cannot legally sell non-BS-VI new motorcycles); not one-by-one re-confirmed for every model page.</t>
  </si>
  <si>
    <t>Owner's manuals (bajajauto.com/customer-service/owners-manual); individual model pages</t>
  </si>
  <si>
    <t>Fuel type</t>
  </si>
  <si>
    <t>Petrol (all models) except Freedom 125 NG04, which is bi-fuel CNG + petrol reserve.</t>
  </si>
  <si>
    <t>Freedom 125 CNG environmental claims</t>
  </si>
  <si>
    <t>Bajaj press releases cite reductions vs petrol equivalents, but figures VARY by release (e.g. '25% lower CO2 / 73.5% CO reduction / 80% less NMHC' in one release vs '26.7% less CO2 / 85% lower NMHC / 43% less NOx' in another) and are labeled 'as per internal evaluations' — not an independently certified standard figure. Treat as directional marketing claims, not a fixed regulatory number.</t>
  </si>
  <si>
    <t>bajajauto.com/corporate/media-centre press releases</t>
  </si>
  <si>
    <t>CNG registration/classification</t>
  </si>
  <si>
    <t>Not published by Bajaj (official site/manuals checked) — no mention found of registration category or 'green plate' status for the Freedom 125 on bajajauto.com.</t>
  </si>
  <si>
    <t>EV classification</t>
  </si>
  <si>
    <t>Not applicable — Bajaj's EV motorcycle-adjacent offering (Chetak) is a scooter sold under a separate brand (chetak.com), outside this ICE-motorcycle workbook.</t>
  </si>
  <si>
    <t>chetak.com</t>
  </si>
  <si>
    <t>TCO / Insurance / Financing Assumptions</t>
  </si>
  <si>
    <t>Categories 18-19, 21  ·  EDIT the blue cells — every downstream formula in TCO_Calculator reads from here. Not manufacturer data; generic illustrative planning figures for India, Sept 2026.</t>
  </si>
  <si>
    <t>Assumption</t>
  </si>
  <si>
    <t>Note</t>
  </si>
  <si>
    <t>Petrol price (₹/litre, Delhi-ish)</t>
  </si>
  <si>
    <t>Editable — varies by state/city and over time</t>
  </si>
  <si>
    <t>CNG price (₹/kg, Delhi-ish)</t>
  </si>
  <si>
    <t>Average annual distance (km)</t>
  </si>
  <si>
    <t>Typical personal-use commuter assumption — raise for high-mileage/delivery use</t>
  </si>
  <si>
    <t>RTO / road tax (% of ex-showroom, one-time)</t>
  </si>
  <si>
    <t>Varies significantly by state (7-15%+) and by engine cc slab — generic placeholder</t>
  </si>
  <si>
    <t>Comprehensive insurance, Year 1 (% of ex-showroom)</t>
  </si>
  <si>
    <t>Own-damage + statutory 5-yr third-party bundled, illustrative only — not a quote</t>
  </si>
  <si>
    <t>Insurance renewal, own-damage (% of ex-showroom/yr, from Yr 2)</t>
  </si>
  <si>
    <t>Illustrative — depreciating IDV reduces this each year in reality</t>
  </si>
  <si>
    <t>Registration/other one-time charges (₹)</t>
  </si>
  <si>
    <t>Smart-card RC, hypothecation, etc. — illustrative flat figure</t>
  </si>
  <si>
    <t>Annual service cost — commuter (≤160cc) (₹)</t>
  </si>
  <si>
    <t>ASSUMPTION — not a Bajaj-published figure; consumables + labour, Tier-3-informed estimate</t>
  </si>
  <si>
    <t>Annual service cost — mid (180-250cc) (₹)</t>
  </si>
  <si>
    <t>ASSUMPTION — not a Bajaj-published figure</t>
  </si>
  <si>
    <t>Annual service cost — performance (≥350cc) (₹)</t>
  </si>
  <si>
    <t>ASSUMPTION — not a Bajaj-published figure; liquid-cooled/DOHC models cost more to service</t>
  </si>
  <si>
    <t>Resale value at 3 years (% of ex-showroom)</t>
  </si>
  <si>
    <t>ASSUMPTION — actual resale varies hugely by city, km, condition, accident history (see Resale notes in TCO sheet)</t>
  </si>
  <si>
    <t>Resale value at 5 years (% of ex-showroom)</t>
  </si>
  <si>
    <t>ASSUMPTION — same caveat</t>
  </si>
  <si>
    <t>Typical down payment (% of ex-showroom)</t>
  </si>
  <si>
    <t>Editable — varies by lender/buyer</t>
  </si>
  <si>
    <t>Typical loan tenure (months)</t>
  </si>
  <si>
    <t>Editable</t>
  </si>
  <si>
    <t>Illustrative loan interest rate (% p.a., flat)</t>
  </si>
  <si>
    <t>ASSUMPTION — not tied to any one bank; two-wheeler loan rates commonly range ~9-16% p.a.</t>
  </si>
  <si>
    <t>Total Cost of Ownership Calculator</t>
  </si>
  <si>
    <t>Category 20  ·  Formulas pull price from Variants and rates from Assumptions — edit either sheet and this recalculates. Financing/EMI math lives in the columns to the right.</t>
  </si>
  <si>
    <t>Ex-showroom Price</t>
  </si>
  <si>
    <t>Assumed Mileage</t>
  </si>
  <si>
    <t>Unit</t>
  </si>
  <si>
    <t>Mileage Basis</t>
  </si>
  <si>
    <t>Service Tier</t>
  </si>
  <si>
    <t>On-Road Price (est.)</t>
  </si>
  <si>
    <t>Annual Fuel Cost</t>
  </si>
  <si>
    <t>Annual Service Cost</t>
  </si>
  <si>
    <t>Annual Insurance (Yr2+)</t>
  </si>
  <si>
    <t>Total Annual Running Cost</t>
  </si>
  <si>
    <t>3-Yr TCO (pre-resale)</t>
  </si>
  <si>
    <t>Resale @3yr</t>
  </si>
  <si>
    <t>3-Yr Net TCO</t>
  </si>
  <si>
    <t>5-Yr TCO (pre-resale)</t>
  </si>
  <si>
    <t>Resale @5yr</t>
  </si>
  <si>
    <t>5-Yr Net TCO</t>
  </si>
  <si>
    <t>km/kg</t>
  </si>
  <si>
    <t>Midpoint of independent CNG tests (BikeWale/ZigWheels: 80-104 km/kg)</t>
  </si>
  <si>
    <t>commuter</t>
  </si>
  <si>
    <t>km/l</t>
  </si>
  <si>
    <t>ASSUMPTION — no independent figure found; segment-typical 125cc estimate</t>
  </si>
  <si>
    <t>Independent owner-reported (BikeWale)</t>
  </si>
  <si>
    <t>Midpoint of independent tests (BikeWale/MotorBeam: 30-49 km/l)</t>
  </si>
  <si>
    <t>mid</t>
  </si>
  <si>
    <t>ASSUMPTION — source site flagged 'insufficient data'</t>
  </si>
  <si>
    <t>ASSUMPTION close to ARAI claim — source site flagged 'insufficient data'</t>
  </si>
  <si>
    <t>Independent test (Autocar India: 27.5-29.6 km/l)</t>
  </si>
  <si>
    <t>Independent test ride (MotorBeam)</t>
  </si>
  <si>
    <t>Midpoint of independent range (BikeWale: 30-60 km/l)</t>
  </si>
  <si>
    <t>Midpoint of independent range (BikeWale: 33-65 km/l)</t>
  </si>
  <si>
    <t>ASSUMPTION — too newly relaunched (2026) for independent data</t>
  </si>
  <si>
    <t>Midpoint of independent range (BikeWale/Team-BHP: 22-30 km/l)</t>
  </si>
  <si>
    <t>Independent owner-average (BikeWale)</t>
  </si>
  <si>
    <t>ASSUMPTION — no distinct figure found, applied Cruise sibling's value</t>
  </si>
  <si>
    <t>Midpoint of independent range (BikeWale: 65-88 km/l)</t>
  </si>
  <si>
    <t>Independent owner-reported (91Wheels)</t>
  </si>
  <si>
    <t>Midpoint of ARAI-cited and independent test (70-75 km/l)</t>
  </si>
  <si>
    <t>Financing illustration (any model — reference cell approach)</t>
  </si>
  <si>
    <t>Example ex-showroom price</t>
  </si>
  <si>
    <t>Down payment</t>
  </si>
  <si>
    <t>Loan amount</t>
  </si>
  <si>
    <t>Tenure (months)</t>
  </si>
  <si>
    <t>Flat interest rate (p.a.)</t>
  </si>
  <si>
    <t>Total interest (flat-rate method)</t>
  </si>
  <si>
    <t>Total repayment (loan + interest)</t>
  </si>
  <si>
    <t>Approx. EMI</t>
  </si>
  <si>
    <t>Note: flat-rate interest is a simplification for illustration; real EMIs use reducing-balance amortisation and will differ from this figure. Replace with your lender's actual quote before presenting to a customer.</t>
  </si>
  <si>
    <t>Resale / Depreciation caveats (Category 21)</t>
  </si>
  <si>
    <t>The 55%/40% resale assumptions above are ILLUSTRATIVE PLANNING FIGURES ONLY, not a market quote. Real used-bike resale value varies substantially by city (demand differs across metros vs. tier-2/3 towns), odometer reading, physical/mechanical condition, number of prior owners, accident/flood history, and prevailing used-market demand for that specific model. There is no single universal resale price — always get a current valuation (e.g. via OLX/CarDekho-Bikes/local dealer buy-back quotes) for a real transaction.</t>
  </si>
  <si>
    <t>Customer Decision Profile — Intake Template</t>
  </si>
  <si>
    <t>Category 27  ·  This is NOT vehicle data — it's the questionnaire schema the advisor should collect from a customer and convert into a Customer Requirement Profile for scoring (see Recommendation_Logic).</t>
  </si>
  <si>
    <t>Prompt / How to Ask</t>
  </si>
  <si>
    <t>Type</t>
  </si>
  <si>
    <t>Example Value</t>
  </si>
  <si>
    <t>Budget</t>
  </si>
  <si>
    <t>What's your maximum ex-showroom or on-road budget?</t>
  </si>
  <si>
    <t>Number (INR)</t>
  </si>
  <si>
    <t>150000</t>
  </si>
  <si>
    <t>Monthly EMI comfort</t>
  </si>
  <si>
    <t>If financing, what monthly EMI is comfortable?</t>
  </si>
  <si>
    <t>4500</t>
  </si>
  <si>
    <t>Daily distance</t>
  </si>
  <si>
    <t>How many km do you ride on a typical day?</t>
  </si>
  <si>
    <t>Number (km)</t>
  </si>
  <si>
    <t>25</t>
  </si>
  <si>
    <t>Monthly distance</t>
  </si>
  <si>
    <t>Roughly how many km per month?</t>
  </si>
  <si>
    <t>700</t>
  </si>
  <si>
    <t>City/highway split</t>
  </si>
  <si>
    <t>What % of your riding is city vs highway?</t>
  </si>
  <si>
    <t>% split</t>
  </si>
  <si>
    <t>70% city / 30% highway</t>
  </si>
  <si>
    <t>Rider height</t>
  </si>
  <si>
    <t>Your height (helps with seat height fit)</t>
  </si>
  <si>
    <t>Number (cm)</t>
  </si>
  <si>
    <t>168</t>
  </si>
  <si>
    <t>Rider experience</t>
  </si>
  <si>
    <t>New rider, &lt;2 years, or experienced?</t>
  </si>
  <si>
    <t>Enum</t>
  </si>
  <si>
    <t>New rider</t>
  </si>
  <si>
    <t>Pillion frequency</t>
  </si>
  <si>
    <t>How often do you carry a passenger?</t>
  </si>
  <si>
    <t>Enum: Never/Occasional/Frequent</t>
  </si>
  <si>
    <t>Occasional</t>
  </si>
  <si>
    <t>Typical luggage</t>
  </si>
  <si>
    <t>Do you carry bags/groceries/tools regularly?</t>
  </si>
  <si>
    <t>Enum: None/Light/Heavy</t>
  </si>
  <si>
    <t>Light</t>
  </si>
  <si>
    <t>Family usage</t>
  </si>
  <si>
    <t>Will family members also ride/use this bike?</t>
  </si>
  <si>
    <t>Boolean + notes</t>
  </si>
  <si>
    <t>Yes — spouse also rides</t>
  </si>
  <si>
    <t>Commute type</t>
  </si>
  <si>
    <t>Office commute, errands, business/delivery, leisure?</t>
  </si>
  <si>
    <t>Office commute</t>
  </si>
  <si>
    <t>Touring frequency</t>
  </si>
  <si>
    <t>Do you take multi-day trips?</t>
  </si>
  <si>
    <t>Enum: Never/Rarely/Regularly</t>
  </si>
  <si>
    <t>Rarely</t>
  </si>
  <si>
    <t>Mileage importance</t>
  </si>
  <si>
    <t>How important is fuel economy to you? (1-5)</t>
  </si>
  <si>
    <t>1-5 scale</t>
  </si>
  <si>
    <t>5</t>
  </si>
  <si>
    <t>Performance importance</t>
  </si>
  <si>
    <t>How important is power/acceleration? (1-5)</t>
  </si>
  <si>
    <t>2</t>
  </si>
  <si>
    <t>Comfort importance</t>
  </si>
  <si>
    <t>How important is riding comfort? (1-5)</t>
  </si>
  <si>
    <t>4</t>
  </si>
  <si>
    <t>Safety importance</t>
  </si>
  <si>
    <t>How important are ABS/braking features? (1-5)</t>
  </si>
  <si>
    <t>Technology importance</t>
  </si>
  <si>
    <t>How important are connected features? (1-5)</t>
  </si>
  <si>
    <t>Maintenance-cost importance</t>
  </si>
  <si>
    <t>How important is low running/service cost? (1-5)</t>
  </si>
  <si>
    <t>Resale importance</t>
  </si>
  <si>
    <t>How important is resale value? (1-5)</t>
  </si>
  <si>
    <t>3</t>
  </si>
  <si>
    <t>EV/ICE preference</t>
  </si>
  <si>
    <t>Open to EV, or ICE only?</t>
  </si>
  <si>
    <t>Enum: EV/ICE/Either</t>
  </si>
  <si>
    <t>ICE only</t>
  </si>
  <si>
    <t>Scooter/motorcycle preference</t>
  </si>
  <si>
    <t>Scooter, motorcycle, or either?</t>
  </si>
  <si>
    <t>Recommendation Logic — Framework (implement in code, not as RAG text)</t>
  </si>
  <si>
    <t>Category 28  ·  This sheet documents the RULES; the companion narrative document includes runnable pseudocode. The LLM should EXPLAIN results using the KB, not decide scoring weights itself.</t>
  </si>
  <si>
    <t>Step</t>
  </si>
  <si>
    <t>Stage</t>
  </si>
  <si>
    <t>Logic</t>
  </si>
  <si>
    <t>1</t>
  </si>
  <si>
    <t>Collect profile</t>
  </si>
  <si>
    <t>Gather the Customer_Decision_Profile fields above into a structured Customer Requirement Profile (CRP).</t>
  </si>
  <si>
    <t>Hard filter</t>
  </si>
  <si>
    <t>Eliminate any Variant where Price &gt; Budget, or where a hard constraint fails (e.g. EV/ICE preference, scooter/motorcycle preference, seat height too tall for rider height, pillion required but variant impractical for pillion).</t>
  </si>
  <si>
    <t>Score — weighted sum</t>
  </si>
  <si>
    <t>For each surviving variant, compute a weighted score: Score = Σ(importance_weight[i] × normalized_attribute_score[i]) across mileage, performance (power-to-weight), comfort (derived), safety (ABS config, brake type), technology (feature count), maintenance-cost (service tier + parts cost), resale (assumption %).</t>
  </si>
  <si>
    <t>Use-case suitability boost/penalty</t>
  </si>
  <si>
    <t>Apply a multiplier per Use-Case Suitability sheet logic (see companion doc) matching the customer's commute type/touring frequency/family usage to each model's documented suitability notes.</t>
  </si>
  <si>
    <t>Rank &amp; shortlist</t>
  </si>
  <si>
    <t>Sort by final score; return top 3-5 variants, not a single answer — per the brief, never lock the customer into one brand/model.</t>
  </si>
  <si>
    <t>6</t>
  </si>
  <si>
    <t>Cross-brand alternatives</t>
  </si>
  <si>
    <t>If the top Bajaj results still don't clear a minimum score threshold against the CRP, surface entries from the Competitors sheet as alternatives worth considering, explicitly labeled as non-Bajaj options.</t>
  </si>
  <si>
    <t>7</t>
  </si>
  <si>
    <t>Explain, don't just assert</t>
  </si>
  <si>
    <t>The LLM explains WHY each shortlisted variant scored well/poorly using the KB's actual fields — e.g. 'Bike X has dual-channel ABS; Bike Y has single-channel ABS' — never bare superlatives like 'safest'.</t>
  </si>
  <si>
    <t>8</t>
  </si>
  <si>
    <t>Cite tier</t>
  </si>
  <si>
    <t>Every claim the explanation makes should be traceable to a Sources_Evidence row so the user can see whether it's an official spec or a third-party test result.</t>
  </si>
  <si>
    <t>Sources &amp; Evidence — Master Log</t>
  </si>
  <si>
    <t>Category 29  ·  Every major fact in this workbook traces to one of these rows.</t>
  </si>
  <si>
    <t>Source Name</t>
  </si>
  <si>
    <t>Source URL</t>
  </si>
  <si>
    <t>Source Type</t>
  </si>
  <si>
    <t>Information Covered</t>
  </si>
  <si>
    <t>Access Date</t>
  </si>
  <si>
    <t>Bajaj Auto — Bikes master listing</t>
  </si>
  <si>
    <t>OEM website</t>
  </si>
  <si>
    <t>All 21 models, canonical ex-showroom Delhi prices</t>
  </si>
  <si>
    <t>Bajaj Auto — individual model pages (x20)</t>
  </si>
  <si>
    <t>https://www.bajajauto.com/bikes/[family]/[model]</t>
  </si>
  <si>
    <t>Engine specs, brakes, suspension, colours, features per model</t>
  </si>
  <si>
    <t>Bajaj Auto — About/Corporate</t>
  </si>
  <si>
    <t>https://www.bajajauto.com/about-us/about-bajaj-group ; /bajaj-auto-subsidiaries</t>
  </si>
  <si>
    <t>OEM corporate site</t>
  </si>
  <si>
    <t>Company structure, brand philosophy, portfolio</t>
  </si>
  <si>
    <t>Bajaj Auto — Contact/Support</t>
  </si>
  <si>
    <t>https://www.bajajauto.com/customer-service/contact-us</t>
  </si>
  <si>
    <t>Customer care channels</t>
  </si>
  <si>
    <t>Bajaj Auto — Dealer Locator</t>
  </si>
  <si>
    <t>https://www.bajajauto.com/customer-service/locate-a-dealer</t>
  </si>
  <si>
    <t>Service network locator</t>
  </si>
  <si>
    <t>Bajaj Auto — Owner's Manual Hub</t>
  </si>
  <si>
    <t>OEM PDF manuals</t>
  </si>
  <si>
    <t>Warranty terms, service intervals, oil grade (Pulsar N160, Dominar 250 confirmed)</t>
  </si>
  <si>
    <t>Bajaj Auto — Spares</t>
  </si>
  <si>
    <t>https://www.bajajauto.com/customer-service/spares</t>
  </si>
  <si>
    <t>Service network scale (dealer/service-center counts)</t>
  </si>
  <si>
    <t>Bajaj Auto — Media Centre / Press Releases</t>
  </si>
  <si>
    <t>https://www.bajajauto.com/corporate/media-centre</t>
  </si>
  <si>
    <t>OEM press releases</t>
  </si>
  <si>
    <t>Freedom 125 CNG environmental claims; KTM warranty program (distinct brand)</t>
  </si>
  <si>
    <t>Chetak (Bajaj EV brand, separate site)</t>
  </si>
  <si>
    <t>https://www.chetak.com/</t>
  </si>
  <si>
    <t>OEM website (sister brand)</t>
  </si>
  <si>
    <t>EV portfolio note, service touchpoint claim (EV-specific)</t>
  </si>
  <si>
    <t>BikeWale</t>
  </si>
  <si>
    <t>https://www.bikewale.com/</t>
  </si>
  <si>
    <t>Auto publication</t>
  </si>
  <si>
    <t>Independent mileage figures, owner reviews/sentiment, competitor comparisons, spec-sheet dimensions/chassis data</t>
  </si>
  <si>
    <t>91Wheels</t>
  </si>
  <si>
    <t>https://www.91wheels.com/</t>
  </si>
  <si>
    <t>Auto spec aggregator</t>
  </si>
  <si>
    <t>Dimensions, brakes, suspension, tyres, transmission, ARAI mileage — fills gaps bajajauto.com omits (marked [T3] in relevant sheets)</t>
  </si>
  <si>
    <t>BikeDekho</t>
  </si>
  <si>
    <t>https://www.bikedekho.com/</t>
  </si>
  <si>
    <t>Dimensions, brakes, suspension, tyres, transmission, ARAI mileage for models 91Wheels/BikeWale didn't cover; Pulsar 180 launch coverage; CT110X competitor comparisons</t>
  </si>
  <si>
    <t>ZigWheels</t>
  </si>
  <si>
    <t>https://www.zigwheels.com/</t>
  </si>
  <si>
    <t>Independent mileage, launch coverage, competitor comparisons</t>
  </si>
  <si>
    <t>Autocar India</t>
  </si>
  <si>
    <t>https://www.autocarindia.com/</t>
  </si>
  <si>
    <t>Road tests (NS400Z), competitor comparisons</t>
  </si>
  <si>
    <t>MotorBeam</t>
  </si>
  <si>
    <t>https://www.motorbeam.com/</t>
  </si>
  <si>
    <t>Performance tests (RS200), long-term review (N250), spec comparisons</t>
  </si>
  <si>
    <t>Team-BHP</t>
  </si>
  <si>
    <t>https://www.team-bhp.com/</t>
  </si>
  <si>
    <t>3/4</t>
  </si>
  <si>
    <t>Enthusiast forum + long-term reviews</t>
  </si>
  <si>
    <t>10,000 km Dominar 400 review, vibration/reliability threads</t>
  </si>
  <si>
    <t>Mileage pages, competitor comparisons</t>
  </si>
  <si>
    <t>Rushlane</t>
  </si>
  <si>
    <t>https://www.rushlane.com/</t>
  </si>
  <si>
    <t>Competitor line-ups for 125cc segment</t>
  </si>
  <si>
    <t>Cartoq</t>
  </si>
  <si>
    <t>https://www.cartoq.com/</t>
  </si>
  <si>
    <t>Dominar vibration issue coverage</t>
  </si>
  <si>
    <t>CarBlogIndia</t>
  </si>
  <si>
    <t>https://www.carblogindia.com/</t>
  </si>
  <si>
    <t>3 (lower confidence)</t>
  </si>
  <si>
    <t>Auto blog</t>
  </si>
  <si>
    <t>Dominar 400 0-100/top-speed estimate — flagged lower-tier vs flagship publications</t>
  </si>
  <si>
    <t>IndianAutosBlog</t>
  </si>
  <si>
    <t>https://indianautosblog.com/</t>
  </si>
  <si>
    <t>CT110X mileage test video</t>
  </si>
  <si>
    <t>Outlook India</t>
  </si>
  <si>
    <t>https://www.outlookindia.com/</t>
  </si>
  <si>
    <t>General publication (auto section)</t>
  </si>
  <si>
    <t>Dominar 400 vs Interceptor 650 vs 390 Duke comparo</t>
  </si>
  <si>
    <t>Quora (sentiment thread)</t>
  </si>
  <si>
    <t>https://www.quora.com/</t>
  </si>
  <si>
    <t>Forum/anecdotal</t>
  </si>
  <si>
    <t>General Bajaj vibration/build-quality sentiment — lowest confidence in this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</si>
</sst>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₹#,##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10"/>
      <color rgb="FF9C0006"/>
      <name val="Arial"/>
      <family val="2"/>
    </font>
    <font>
      <sz val="10"/>
      <color rgb="FF0000FF"/>
      <name val="Arial"/>
      <family val="2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3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4" fillId="0" borderId="0" xfId="0" applyFont="1"/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/>
    <xf numFmtId="3" fontId="7" fillId="5" borderId="1" xfId="0" applyNumberFormat="1" applyFont="1" applyFill="1" applyBorder="1"/>
    <xf numFmtId="165" fontId="7" fillId="5" borderId="1" xfId="0" applyNumberFormat="1" applyFont="1" applyFill="1" applyBorder="1"/>
    <xf numFmtId="0" fontId="0" fillId="0" borderId="1" xfId="0" applyBorder="1"/>
    <xf numFmtId="164" fontId="4" fillId="0" borderId="1" xfId="0" applyNumberFormat="1" applyFont="1" applyBorder="1"/>
    <xf numFmtId="0" fontId="0" fillId="0" borderId="1" xfId="0" applyBorder="1" applyAlignment="1">
      <alignment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8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B9D9EEA-86AE-4EDE-B303-11987D87DCBF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jajauto.com/bikes/bajaj-freedom/bajaj-freedom-125-ng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zoomScaleNormal="100" workbookViewId="0">
      <selection sqref="A1:F1"/>
    </sheetView>
  </sheetViews>
  <sheetFormatPr defaultColWidth="8.6640625" defaultRowHeight="14.25" x14ac:dyDescent="0.45"/>
  <cols>
    <col min="1" max="1" width="26" customWidth="1"/>
    <col min="2" max="2" width="90" customWidth="1"/>
  </cols>
  <sheetData>
    <row r="1" spans="1:6" ht="25.5" customHeight="1" x14ac:dyDescent="0.45">
      <c r="A1" s="4" t="s">
        <v>0</v>
      </c>
      <c r="B1" s="4"/>
      <c r="C1" s="4"/>
      <c r="D1" s="4"/>
      <c r="E1" s="4"/>
      <c r="F1" s="4"/>
    </row>
    <row r="2" spans="1:6" ht="15.75" customHeight="1" x14ac:dyDescent="0.45">
      <c r="A2" s="3" t="s">
        <v>1</v>
      </c>
      <c r="B2" s="3"/>
      <c r="C2" s="3"/>
      <c r="D2" s="3"/>
      <c r="E2" s="3"/>
      <c r="F2" s="3"/>
    </row>
    <row r="4" spans="1:6" ht="57" x14ac:dyDescent="0.45">
      <c r="A4" s="5" t="s">
        <v>2</v>
      </c>
      <c r="B4" s="6" t="s">
        <v>3</v>
      </c>
    </row>
    <row r="6" spans="1:6" x14ac:dyDescent="0.45">
      <c r="A6" s="5" t="s">
        <v>4</v>
      </c>
    </row>
    <row r="7" spans="1:6" ht="30" customHeight="1" x14ac:dyDescent="0.45">
      <c r="A7" s="7" t="s">
        <v>5</v>
      </c>
      <c r="B7" s="8" t="s">
        <v>6</v>
      </c>
    </row>
    <row r="8" spans="1:6" ht="30" customHeight="1" x14ac:dyDescent="0.45">
      <c r="A8" s="9" t="s">
        <v>7</v>
      </c>
      <c r="B8" s="8" t="s">
        <v>8</v>
      </c>
    </row>
    <row r="9" spans="1:6" ht="30" customHeight="1" x14ac:dyDescent="0.45">
      <c r="A9" s="10" t="s">
        <v>9</v>
      </c>
      <c r="B9" s="8" t="s">
        <v>10</v>
      </c>
    </row>
    <row r="10" spans="1:6" ht="30" customHeight="1" x14ac:dyDescent="0.45">
      <c r="A10" s="11" t="s">
        <v>11</v>
      </c>
      <c r="B10" s="8" t="s">
        <v>12</v>
      </c>
    </row>
    <row r="11" spans="1:6" ht="30" customHeight="1" x14ac:dyDescent="0.45">
      <c r="A11" s="10" t="s">
        <v>13</v>
      </c>
      <c r="B11" s="8" t="s">
        <v>14</v>
      </c>
    </row>
    <row r="13" spans="1:6" ht="45" customHeight="1" x14ac:dyDescent="0.45">
      <c r="A13" s="5" t="s">
        <v>15</v>
      </c>
      <c r="B13" s="6" t="s">
        <v>16</v>
      </c>
    </row>
    <row r="15" spans="1:6" x14ac:dyDescent="0.45">
      <c r="A15" s="5" t="s">
        <v>17</v>
      </c>
    </row>
    <row r="16" spans="1:6" x14ac:dyDescent="0.45">
      <c r="B16" s="12" t="s">
        <v>18</v>
      </c>
    </row>
    <row r="17" spans="2:2" x14ac:dyDescent="0.45">
      <c r="B17" s="12" t="s">
        <v>19</v>
      </c>
    </row>
    <row r="18" spans="2:2" x14ac:dyDescent="0.45">
      <c r="B18" s="12" t="s">
        <v>20</v>
      </c>
    </row>
    <row r="19" spans="2:2" x14ac:dyDescent="0.45">
      <c r="B19" s="12" t="s">
        <v>21</v>
      </c>
    </row>
    <row r="20" spans="2:2" x14ac:dyDescent="0.45">
      <c r="B20" s="12" t="s">
        <v>22</v>
      </c>
    </row>
    <row r="21" spans="2:2" x14ac:dyDescent="0.45">
      <c r="B21" s="12" t="s">
        <v>23</v>
      </c>
    </row>
    <row r="22" spans="2:2" x14ac:dyDescent="0.45">
      <c r="B22" s="12" t="s">
        <v>24</v>
      </c>
    </row>
    <row r="23" spans="2:2" x14ac:dyDescent="0.45">
      <c r="B23" s="12" t="s">
        <v>25</v>
      </c>
    </row>
    <row r="24" spans="2:2" x14ac:dyDescent="0.45">
      <c r="B24" s="12" t="s">
        <v>26</v>
      </c>
    </row>
    <row r="25" spans="2:2" x14ac:dyDescent="0.45">
      <c r="B25" s="12" t="s">
        <v>27</v>
      </c>
    </row>
    <row r="26" spans="2:2" x14ac:dyDescent="0.45">
      <c r="B26" s="12" t="s">
        <v>28</v>
      </c>
    </row>
    <row r="27" spans="2:2" x14ac:dyDescent="0.45">
      <c r="B27" s="12" t="s">
        <v>29</v>
      </c>
    </row>
    <row r="28" spans="2:2" x14ac:dyDescent="0.45">
      <c r="B28" s="12" t="s">
        <v>30</v>
      </c>
    </row>
    <row r="29" spans="2:2" x14ac:dyDescent="0.45">
      <c r="B29" s="12" t="s">
        <v>31</v>
      </c>
    </row>
    <row r="30" spans="2:2" x14ac:dyDescent="0.45">
      <c r="B30" s="12" t="s">
        <v>32</v>
      </c>
    </row>
    <row r="31" spans="2:2" x14ac:dyDescent="0.45">
      <c r="B31" s="12" t="s">
        <v>33</v>
      </c>
    </row>
    <row r="32" spans="2:2" x14ac:dyDescent="0.45">
      <c r="B32" s="12" t="s">
        <v>34</v>
      </c>
    </row>
    <row r="33" spans="1:2" x14ac:dyDescent="0.45">
      <c r="B33" s="12" t="s">
        <v>35</v>
      </c>
    </row>
    <row r="34" spans="1:2" x14ac:dyDescent="0.45">
      <c r="B34" s="12" t="s">
        <v>36</v>
      </c>
    </row>
    <row r="36" spans="1:2" ht="30" customHeight="1" x14ac:dyDescent="0.45">
      <c r="A36" s="5" t="s">
        <v>37</v>
      </c>
      <c r="B36" s="13" t="s">
        <v>38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zoomScaleNormal="100" workbookViewId="0">
      <pane ySplit="4" topLeftCell="A5" activePane="bottomLeft" state="frozen"/>
      <selection pane="bottomLeft" sqref="A1:C1"/>
    </sheetView>
  </sheetViews>
  <sheetFormatPr defaultColWidth="8.6640625" defaultRowHeight="14.25" x14ac:dyDescent="0.45"/>
  <cols>
    <col min="1" max="1" width="30" customWidth="1"/>
    <col min="2" max="2" width="80" customWidth="1"/>
    <col min="3" max="3" width="45" customWidth="1"/>
  </cols>
  <sheetData>
    <row r="1" spans="1:3" ht="25.5" customHeight="1" x14ac:dyDescent="0.45">
      <c r="A1" s="4" t="s">
        <v>39</v>
      </c>
      <c r="B1" s="4"/>
      <c r="C1" s="4"/>
    </row>
    <row r="2" spans="1:3" ht="15.75" customHeight="1" x14ac:dyDescent="0.45">
      <c r="A2" s="3" t="s">
        <v>40</v>
      </c>
      <c r="B2" s="3"/>
      <c r="C2" s="3"/>
    </row>
    <row r="4" spans="1:3" x14ac:dyDescent="0.45">
      <c r="A4" s="14" t="s">
        <v>41</v>
      </c>
      <c r="B4" s="14" t="s">
        <v>42</v>
      </c>
      <c r="C4" s="14" t="s">
        <v>43</v>
      </c>
    </row>
    <row r="5" spans="1:3" ht="45" customHeight="1" x14ac:dyDescent="0.45">
      <c r="A5" s="8" t="s">
        <v>44</v>
      </c>
      <c r="B5" s="8" t="s">
        <v>45</v>
      </c>
      <c r="C5" s="8" t="s">
        <v>46</v>
      </c>
    </row>
    <row r="6" spans="1:3" ht="45" customHeight="1" x14ac:dyDescent="0.45">
      <c r="A6" s="8" t="s">
        <v>47</v>
      </c>
      <c r="B6" s="8" t="s">
        <v>48</v>
      </c>
      <c r="C6" s="8" t="s">
        <v>49</v>
      </c>
    </row>
    <row r="7" spans="1:3" ht="45" customHeight="1" x14ac:dyDescent="0.45">
      <c r="A7" s="8" t="s">
        <v>50</v>
      </c>
      <c r="B7" s="8" t="s">
        <v>51</v>
      </c>
      <c r="C7" s="8" t="s">
        <v>52</v>
      </c>
    </row>
    <row r="8" spans="1:3" ht="45" customHeight="1" x14ac:dyDescent="0.45">
      <c r="A8" s="8" t="s">
        <v>53</v>
      </c>
      <c r="B8" s="8" t="s">
        <v>54</v>
      </c>
      <c r="C8" s="8" t="s">
        <v>55</v>
      </c>
    </row>
    <row r="9" spans="1:3" ht="45" customHeight="1" x14ac:dyDescent="0.45">
      <c r="A9" s="8" t="s">
        <v>56</v>
      </c>
      <c r="B9" s="8" t="s">
        <v>57</v>
      </c>
      <c r="C9" s="8" t="s">
        <v>58</v>
      </c>
    </row>
    <row r="10" spans="1:3" ht="45" customHeight="1" x14ac:dyDescent="0.45">
      <c r="A10" s="8" t="s">
        <v>59</v>
      </c>
      <c r="B10" s="8" t="s">
        <v>60</v>
      </c>
      <c r="C10" s="8" t="s">
        <v>61</v>
      </c>
    </row>
    <row r="11" spans="1:3" ht="45" customHeight="1" x14ac:dyDescent="0.45">
      <c r="A11" s="8" t="s">
        <v>62</v>
      </c>
      <c r="B11" s="8" t="s">
        <v>63</v>
      </c>
      <c r="C11" s="8" t="s">
        <v>64</v>
      </c>
    </row>
    <row r="12" spans="1:3" ht="45" customHeight="1" x14ac:dyDescent="0.45">
      <c r="A12" s="8" t="s">
        <v>65</v>
      </c>
      <c r="B12" s="8" t="s">
        <v>66</v>
      </c>
      <c r="C12" s="8" t="s">
        <v>67</v>
      </c>
    </row>
    <row r="13" spans="1:3" ht="45" customHeight="1" x14ac:dyDescent="0.45">
      <c r="A13" s="8" t="s">
        <v>68</v>
      </c>
      <c r="B13" s="8" t="s">
        <v>69</v>
      </c>
      <c r="C13" s="8" t="s">
        <v>61</v>
      </c>
    </row>
    <row r="14" spans="1:3" ht="45" customHeight="1" x14ac:dyDescent="0.45">
      <c r="A14" s="8" t="s">
        <v>70</v>
      </c>
      <c r="B14" s="8" t="s">
        <v>71</v>
      </c>
      <c r="C14" s="8" t="s">
        <v>72</v>
      </c>
    </row>
    <row r="15" spans="1:3" ht="45" customHeight="1" x14ac:dyDescent="0.45">
      <c r="A15" s="8" t="s">
        <v>73</v>
      </c>
      <c r="B15" s="8" t="s">
        <v>74</v>
      </c>
      <c r="C15" s="8" t="s">
        <v>75</v>
      </c>
    </row>
    <row r="16" spans="1:3" ht="45" customHeight="1" x14ac:dyDescent="0.45">
      <c r="A16" s="8" t="s">
        <v>76</v>
      </c>
      <c r="B16" s="8" t="s">
        <v>77</v>
      </c>
      <c r="C16" s="8" t="s">
        <v>78</v>
      </c>
    </row>
    <row r="17" spans="1:3" ht="45" customHeight="1" x14ac:dyDescent="0.45">
      <c r="A17" s="8" t="s">
        <v>79</v>
      </c>
      <c r="B17" s="8" t="s">
        <v>80</v>
      </c>
      <c r="C17" s="8" t="s">
        <v>81</v>
      </c>
    </row>
    <row r="18" spans="1:3" ht="45" customHeight="1" x14ac:dyDescent="0.45">
      <c r="A18" s="8" t="s">
        <v>82</v>
      </c>
      <c r="B18" s="8" t="s">
        <v>83</v>
      </c>
      <c r="C18" s="8" t="s">
        <v>84</v>
      </c>
    </row>
    <row r="19" spans="1:3" ht="45" customHeight="1" x14ac:dyDescent="0.45">
      <c r="A19" s="8" t="s">
        <v>85</v>
      </c>
      <c r="B19" s="8" t="s">
        <v>86</v>
      </c>
      <c r="C19" s="8" t="s">
        <v>87</v>
      </c>
    </row>
    <row r="20" spans="1:3" ht="45" customHeight="1" x14ac:dyDescent="0.45">
      <c r="A20" s="8" t="s">
        <v>88</v>
      </c>
      <c r="B20" s="8" t="s">
        <v>89</v>
      </c>
      <c r="C20" s="8" t="s">
        <v>90</v>
      </c>
    </row>
    <row r="21" spans="1:3" ht="45" customHeight="1" x14ac:dyDescent="0.45">
      <c r="A21" s="8" t="s">
        <v>91</v>
      </c>
      <c r="B21" s="8" t="s">
        <v>92</v>
      </c>
      <c r="C21" s="8" t="s">
        <v>93</v>
      </c>
    </row>
    <row r="22" spans="1:3" ht="45" customHeight="1" x14ac:dyDescent="0.45">
      <c r="A22" s="8" t="s">
        <v>94</v>
      </c>
      <c r="B22" s="8" t="s">
        <v>95</v>
      </c>
      <c r="C22" s="8" t="s">
        <v>96</v>
      </c>
    </row>
    <row r="23" spans="1:3" ht="45" customHeight="1" x14ac:dyDescent="0.45">
      <c r="A23" s="8" t="s">
        <v>97</v>
      </c>
      <c r="B23" s="8" t="s">
        <v>98</v>
      </c>
      <c r="C23" s="8" t="s">
        <v>96</v>
      </c>
    </row>
    <row r="24" spans="1:3" ht="45" customHeight="1" x14ac:dyDescent="0.45">
      <c r="A24" s="8" t="s">
        <v>99</v>
      </c>
      <c r="B24" s="8" t="s">
        <v>100</v>
      </c>
      <c r="C24" s="8" t="s">
        <v>101</v>
      </c>
    </row>
    <row r="25" spans="1:3" ht="45" customHeight="1" x14ac:dyDescent="0.45">
      <c r="A25" s="8" t="s">
        <v>102</v>
      </c>
      <c r="B25" s="8" t="s">
        <v>103</v>
      </c>
      <c r="C25" s="8" t="s">
        <v>104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7" sqref="N7"/>
    </sheetView>
  </sheetViews>
  <sheetFormatPr defaultColWidth="8.6640625" defaultRowHeight="14.25" x14ac:dyDescent="0.45"/>
  <cols>
    <col min="1" max="1" width="8" customWidth="1"/>
    <col min="2" max="2" width="10" customWidth="1"/>
    <col min="3" max="3" width="20" customWidth="1"/>
    <col min="4" max="4" width="16" customWidth="1"/>
    <col min="5" max="5" width="12" customWidth="1"/>
    <col min="6" max="6" width="8" customWidth="1"/>
    <col min="7" max="7" width="22" customWidth="1"/>
    <col min="8" max="8" width="26" customWidth="1"/>
    <col min="9" max="9" width="30" customWidth="1"/>
    <col min="10" max="10" width="26" customWidth="1"/>
    <col min="11" max="12" width="34" customWidth="1"/>
    <col min="13" max="14" width="30" customWidth="1"/>
  </cols>
  <sheetData>
    <row r="1" spans="1:14" ht="25.5" customHeight="1" x14ac:dyDescent="0.45">
      <c r="A1" s="4" t="s">
        <v>105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customHeight="1" x14ac:dyDescent="0.45">
      <c r="A2" s="3" t="s">
        <v>106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x14ac:dyDescent="0.45">
      <c r="A4" s="14" t="s">
        <v>107</v>
      </c>
      <c r="B4" s="14" t="s">
        <v>108</v>
      </c>
      <c r="C4" s="14" t="s">
        <v>109</v>
      </c>
      <c r="D4" s="14" t="s">
        <v>110</v>
      </c>
      <c r="E4" s="14" t="s">
        <v>111</v>
      </c>
      <c r="F4" s="14" t="s">
        <v>112</v>
      </c>
      <c r="G4" s="14" t="s">
        <v>113</v>
      </c>
      <c r="H4" s="14" t="s">
        <v>114</v>
      </c>
      <c r="I4" s="14" t="s">
        <v>115</v>
      </c>
      <c r="J4" s="14" t="s">
        <v>116</v>
      </c>
      <c r="K4" s="14" t="s">
        <v>117</v>
      </c>
      <c r="L4" s="14" t="s">
        <v>118</v>
      </c>
      <c r="M4" s="14" t="s">
        <v>119</v>
      </c>
      <c r="N4" s="14" t="s">
        <v>120</v>
      </c>
    </row>
    <row r="5" spans="1:14" ht="60" customHeight="1" x14ac:dyDescent="0.45">
      <c r="A5" s="15" t="s">
        <v>121</v>
      </c>
      <c r="B5" s="8" t="s">
        <v>122</v>
      </c>
      <c r="C5" s="8" t="s">
        <v>123</v>
      </c>
      <c r="D5" s="8" t="s">
        <v>124</v>
      </c>
      <c r="E5" s="8" t="s">
        <v>125</v>
      </c>
      <c r="F5" s="8" t="s">
        <v>126</v>
      </c>
      <c r="G5" s="8" t="s">
        <v>127</v>
      </c>
      <c r="H5" s="8" t="s">
        <v>128</v>
      </c>
      <c r="I5" s="8" t="s">
        <v>129</v>
      </c>
      <c r="J5" s="8" t="s">
        <v>130</v>
      </c>
      <c r="K5" s="8" t="s">
        <v>131</v>
      </c>
      <c r="L5" s="16" t="s">
        <v>132</v>
      </c>
      <c r="M5" s="32" t="s">
        <v>133</v>
      </c>
      <c r="N5" s="8" t="s">
        <v>104</v>
      </c>
    </row>
    <row r="6" spans="1:14" ht="60" customHeight="1" x14ac:dyDescent="0.45">
      <c r="A6" s="15" t="s">
        <v>121</v>
      </c>
      <c r="B6" s="8" t="s">
        <v>134</v>
      </c>
      <c r="C6" s="8" t="s">
        <v>135</v>
      </c>
      <c r="D6" s="8" t="s">
        <v>124</v>
      </c>
      <c r="E6" s="8" t="s">
        <v>125</v>
      </c>
      <c r="F6" s="8" t="s">
        <v>126</v>
      </c>
      <c r="G6" s="8" t="s">
        <v>136</v>
      </c>
      <c r="H6" s="8" t="s">
        <v>137</v>
      </c>
      <c r="I6" s="8" t="s">
        <v>138</v>
      </c>
      <c r="J6" s="8" t="s">
        <v>139</v>
      </c>
      <c r="K6" s="8" t="s">
        <v>140</v>
      </c>
      <c r="L6" s="16" t="s">
        <v>141</v>
      </c>
      <c r="M6" s="8" t="s">
        <v>142</v>
      </c>
      <c r="N6" s="8" t="s">
        <v>104</v>
      </c>
    </row>
    <row r="7" spans="1:14" ht="60" customHeight="1" x14ac:dyDescent="0.45">
      <c r="A7" s="15" t="s">
        <v>121</v>
      </c>
      <c r="B7" s="8" t="s">
        <v>134</v>
      </c>
      <c r="C7" s="8" t="s">
        <v>143</v>
      </c>
      <c r="D7" s="8" t="s">
        <v>124</v>
      </c>
      <c r="E7" s="8" t="s">
        <v>125</v>
      </c>
      <c r="F7" s="8" t="s">
        <v>126</v>
      </c>
      <c r="G7" s="8" t="s">
        <v>144</v>
      </c>
      <c r="H7" s="8" t="s">
        <v>145</v>
      </c>
      <c r="I7" s="8" t="s">
        <v>146</v>
      </c>
      <c r="J7" s="8" t="s">
        <v>147</v>
      </c>
      <c r="K7" s="8" t="s">
        <v>148</v>
      </c>
      <c r="L7" s="16" t="s">
        <v>149</v>
      </c>
      <c r="M7" s="8" t="s">
        <v>150</v>
      </c>
      <c r="N7" s="8" t="s">
        <v>104</v>
      </c>
    </row>
    <row r="8" spans="1:14" ht="60" customHeight="1" x14ac:dyDescent="0.45">
      <c r="A8" s="15" t="s">
        <v>121</v>
      </c>
      <c r="B8" s="8" t="s">
        <v>134</v>
      </c>
      <c r="C8" s="8" t="s">
        <v>151</v>
      </c>
      <c r="D8" s="8" t="s">
        <v>124</v>
      </c>
      <c r="E8" s="8" t="s">
        <v>125</v>
      </c>
      <c r="F8" s="8" t="s">
        <v>126</v>
      </c>
      <c r="G8" s="8" t="s">
        <v>152</v>
      </c>
      <c r="H8" s="8" t="s">
        <v>153</v>
      </c>
      <c r="I8" s="8" t="s">
        <v>154</v>
      </c>
      <c r="J8" s="8" t="s">
        <v>155</v>
      </c>
      <c r="K8" s="8" t="s">
        <v>156</v>
      </c>
      <c r="L8" s="16" t="s">
        <v>157</v>
      </c>
      <c r="M8" s="8" t="s">
        <v>158</v>
      </c>
      <c r="N8" s="8" t="s">
        <v>104</v>
      </c>
    </row>
    <row r="9" spans="1:14" ht="60" customHeight="1" x14ac:dyDescent="0.45">
      <c r="A9" s="15" t="s">
        <v>121</v>
      </c>
      <c r="B9" s="8" t="s">
        <v>134</v>
      </c>
      <c r="C9" s="8" t="s">
        <v>159</v>
      </c>
      <c r="D9" s="8" t="s">
        <v>124</v>
      </c>
      <c r="E9" s="8" t="s">
        <v>125</v>
      </c>
      <c r="F9" s="8" t="s">
        <v>126</v>
      </c>
      <c r="G9" s="8" t="s">
        <v>160</v>
      </c>
      <c r="H9" s="8" t="s">
        <v>161</v>
      </c>
      <c r="I9" s="8" t="s">
        <v>162</v>
      </c>
      <c r="J9" s="8" t="s">
        <v>163</v>
      </c>
      <c r="K9" s="8" t="s">
        <v>164</v>
      </c>
      <c r="L9" s="16" t="s">
        <v>165</v>
      </c>
      <c r="M9" s="8" t="s">
        <v>166</v>
      </c>
      <c r="N9" s="8" t="s">
        <v>104</v>
      </c>
    </row>
    <row r="10" spans="1:14" ht="60" customHeight="1" x14ac:dyDescent="0.45">
      <c r="A10" s="15" t="s">
        <v>121</v>
      </c>
      <c r="B10" s="8" t="s">
        <v>134</v>
      </c>
      <c r="C10" s="8" t="s">
        <v>167</v>
      </c>
      <c r="D10" s="8" t="s">
        <v>124</v>
      </c>
      <c r="E10" s="8" t="s">
        <v>125</v>
      </c>
      <c r="F10" s="8" t="s">
        <v>126</v>
      </c>
      <c r="G10" s="8" t="s">
        <v>144</v>
      </c>
      <c r="H10" s="8" t="s">
        <v>168</v>
      </c>
      <c r="I10" s="8" t="s">
        <v>169</v>
      </c>
      <c r="J10" s="8" t="s">
        <v>170</v>
      </c>
      <c r="K10" s="8" t="s">
        <v>171</v>
      </c>
      <c r="L10" s="16" t="s">
        <v>172</v>
      </c>
      <c r="M10" s="8" t="s">
        <v>173</v>
      </c>
      <c r="N10" s="8" t="s">
        <v>104</v>
      </c>
    </row>
    <row r="11" spans="1:14" ht="60" customHeight="1" x14ac:dyDescent="0.45">
      <c r="A11" s="15" t="s">
        <v>121</v>
      </c>
      <c r="B11" s="8" t="s">
        <v>134</v>
      </c>
      <c r="C11" s="8" t="s">
        <v>174</v>
      </c>
      <c r="D11" s="8" t="s">
        <v>124</v>
      </c>
      <c r="E11" s="8" t="s">
        <v>125</v>
      </c>
      <c r="F11" s="8" t="s">
        <v>126</v>
      </c>
      <c r="G11" s="8" t="s">
        <v>175</v>
      </c>
      <c r="H11" s="8" t="s">
        <v>176</v>
      </c>
      <c r="I11" s="8" t="s">
        <v>177</v>
      </c>
      <c r="J11" s="8" t="s">
        <v>178</v>
      </c>
      <c r="K11" s="8" t="s">
        <v>179</v>
      </c>
      <c r="L11" s="16" t="s">
        <v>180</v>
      </c>
      <c r="M11" s="8" t="s">
        <v>181</v>
      </c>
      <c r="N11" s="8" t="s">
        <v>104</v>
      </c>
    </row>
    <row r="12" spans="1:14" ht="60" customHeight="1" x14ac:dyDescent="0.45">
      <c r="A12" s="15" t="s">
        <v>121</v>
      </c>
      <c r="B12" s="8" t="s">
        <v>134</v>
      </c>
      <c r="C12" s="8" t="s">
        <v>182</v>
      </c>
      <c r="D12" s="8" t="s">
        <v>124</v>
      </c>
      <c r="E12" s="8" t="s">
        <v>125</v>
      </c>
      <c r="F12" s="8" t="s">
        <v>126</v>
      </c>
      <c r="G12" s="8" t="s">
        <v>183</v>
      </c>
      <c r="H12" s="8" t="s">
        <v>184</v>
      </c>
      <c r="I12" s="8" t="s">
        <v>185</v>
      </c>
      <c r="J12" s="8" t="s">
        <v>186</v>
      </c>
      <c r="K12" s="8" t="s">
        <v>187</v>
      </c>
      <c r="L12" s="16" t="s">
        <v>188</v>
      </c>
      <c r="M12" s="8" t="s">
        <v>189</v>
      </c>
      <c r="N12" s="8" t="s">
        <v>104</v>
      </c>
    </row>
    <row r="13" spans="1:14" ht="60" customHeight="1" x14ac:dyDescent="0.45">
      <c r="A13" s="15" t="s">
        <v>121</v>
      </c>
      <c r="B13" s="8" t="s">
        <v>134</v>
      </c>
      <c r="C13" s="8" t="s">
        <v>190</v>
      </c>
      <c r="D13" s="8" t="s">
        <v>124</v>
      </c>
      <c r="E13" s="8" t="s">
        <v>125</v>
      </c>
      <c r="F13" s="8" t="s">
        <v>126</v>
      </c>
      <c r="G13" s="8" t="s">
        <v>191</v>
      </c>
      <c r="H13" s="8" t="s">
        <v>192</v>
      </c>
      <c r="I13" s="8" t="s">
        <v>193</v>
      </c>
      <c r="J13" s="8" t="s">
        <v>194</v>
      </c>
      <c r="K13" s="8" t="s">
        <v>195</v>
      </c>
      <c r="L13" s="16" t="s">
        <v>196</v>
      </c>
      <c r="M13" s="8" t="s">
        <v>197</v>
      </c>
      <c r="N13" s="8" t="s">
        <v>104</v>
      </c>
    </row>
    <row r="14" spans="1:14" ht="60" customHeight="1" x14ac:dyDescent="0.45">
      <c r="A14" s="15" t="s">
        <v>121</v>
      </c>
      <c r="B14" s="8" t="s">
        <v>134</v>
      </c>
      <c r="C14" s="8" t="s">
        <v>198</v>
      </c>
      <c r="D14" s="8" t="s">
        <v>124</v>
      </c>
      <c r="E14" s="8" t="s">
        <v>125</v>
      </c>
      <c r="F14" s="8" t="s">
        <v>126</v>
      </c>
      <c r="G14" s="8" t="s">
        <v>199</v>
      </c>
      <c r="H14" s="8" t="s">
        <v>200</v>
      </c>
      <c r="I14" s="8" t="s">
        <v>201</v>
      </c>
      <c r="J14" s="8" t="s">
        <v>202</v>
      </c>
      <c r="K14" s="8" t="s">
        <v>203</v>
      </c>
      <c r="L14" s="16" t="s">
        <v>141</v>
      </c>
      <c r="M14" s="8" t="s">
        <v>204</v>
      </c>
      <c r="N14" s="8" t="s">
        <v>104</v>
      </c>
    </row>
    <row r="15" spans="1:14" ht="60" customHeight="1" x14ac:dyDescent="0.45">
      <c r="A15" s="15" t="s">
        <v>121</v>
      </c>
      <c r="B15" s="8" t="s">
        <v>134</v>
      </c>
      <c r="C15" s="8" t="s">
        <v>205</v>
      </c>
      <c r="D15" s="8" t="s">
        <v>124</v>
      </c>
      <c r="E15" s="8" t="s">
        <v>125</v>
      </c>
      <c r="F15" s="8" t="s">
        <v>126</v>
      </c>
      <c r="G15" s="8" t="s">
        <v>206</v>
      </c>
      <c r="H15" s="8" t="s">
        <v>207</v>
      </c>
      <c r="I15" s="8" t="s">
        <v>208</v>
      </c>
      <c r="J15" s="8" t="s">
        <v>209</v>
      </c>
      <c r="K15" s="8" t="s">
        <v>210</v>
      </c>
      <c r="L15" s="16" t="s">
        <v>211</v>
      </c>
      <c r="M15" s="8" t="s">
        <v>212</v>
      </c>
      <c r="N15" s="8" t="s">
        <v>104</v>
      </c>
    </row>
    <row r="16" spans="1:14" ht="60" customHeight="1" x14ac:dyDescent="0.45">
      <c r="A16" s="15" t="s">
        <v>121</v>
      </c>
      <c r="B16" s="8" t="s">
        <v>134</v>
      </c>
      <c r="C16" s="8" t="s">
        <v>213</v>
      </c>
      <c r="D16" s="8" t="s">
        <v>124</v>
      </c>
      <c r="E16" s="8" t="s">
        <v>125</v>
      </c>
      <c r="F16" s="8" t="s">
        <v>126</v>
      </c>
      <c r="G16" s="8" t="s">
        <v>214</v>
      </c>
      <c r="H16" s="8" t="s">
        <v>215</v>
      </c>
      <c r="I16" s="8" t="s">
        <v>216</v>
      </c>
      <c r="J16" s="8" t="s">
        <v>217</v>
      </c>
      <c r="K16" s="8" t="s">
        <v>218</v>
      </c>
      <c r="L16" s="16" t="s">
        <v>219</v>
      </c>
      <c r="M16" s="8" t="s">
        <v>220</v>
      </c>
      <c r="N16" s="8" t="s">
        <v>104</v>
      </c>
    </row>
    <row r="17" spans="1:14" ht="60" customHeight="1" x14ac:dyDescent="0.45">
      <c r="A17" s="15" t="s">
        <v>121</v>
      </c>
      <c r="B17" s="8" t="s">
        <v>134</v>
      </c>
      <c r="C17" s="8" t="s">
        <v>221</v>
      </c>
      <c r="D17" s="8" t="s">
        <v>124</v>
      </c>
      <c r="E17" s="8" t="s">
        <v>125</v>
      </c>
      <c r="F17" s="8" t="s">
        <v>126</v>
      </c>
      <c r="G17" s="8" t="s">
        <v>222</v>
      </c>
      <c r="H17" s="8" t="s">
        <v>223</v>
      </c>
      <c r="I17" s="8" t="s">
        <v>224</v>
      </c>
      <c r="J17" s="8" t="s">
        <v>225</v>
      </c>
      <c r="K17" s="8" t="s">
        <v>226</v>
      </c>
      <c r="L17" s="16" t="s">
        <v>227</v>
      </c>
      <c r="M17" s="8" t="s">
        <v>228</v>
      </c>
      <c r="N17" s="8" t="s">
        <v>104</v>
      </c>
    </row>
    <row r="18" spans="1:14" ht="60" customHeight="1" x14ac:dyDescent="0.45">
      <c r="A18" s="15" t="s">
        <v>121</v>
      </c>
      <c r="B18" s="8" t="s">
        <v>229</v>
      </c>
      <c r="C18" s="8" t="s">
        <v>230</v>
      </c>
      <c r="D18" s="8" t="s">
        <v>124</v>
      </c>
      <c r="E18" s="8" t="s">
        <v>125</v>
      </c>
      <c r="F18" s="8" t="s">
        <v>126</v>
      </c>
      <c r="G18" s="8" t="s">
        <v>231</v>
      </c>
      <c r="H18" s="8" t="s">
        <v>232</v>
      </c>
      <c r="I18" s="8" t="s">
        <v>233</v>
      </c>
      <c r="J18" s="8" t="s">
        <v>234</v>
      </c>
      <c r="K18" s="8" t="s">
        <v>235</v>
      </c>
      <c r="L18" s="16" t="s">
        <v>236</v>
      </c>
      <c r="M18" s="8" t="s">
        <v>237</v>
      </c>
      <c r="N18" s="8" t="s">
        <v>104</v>
      </c>
    </row>
    <row r="19" spans="1:14" ht="60" customHeight="1" x14ac:dyDescent="0.45">
      <c r="A19" s="15" t="s">
        <v>121</v>
      </c>
      <c r="B19" s="8" t="s">
        <v>229</v>
      </c>
      <c r="C19" s="8" t="s">
        <v>238</v>
      </c>
      <c r="D19" s="8" t="s">
        <v>124</v>
      </c>
      <c r="E19" s="8" t="s">
        <v>125</v>
      </c>
      <c r="F19" s="8" t="s">
        <v>126</v>
      </c>
      <c r="G19" s="8" t="s">
        <v>239</v>
      </c>
      <c r="H19" s="8" t="s">
        <v>240</v>
      </c>
      <c r="I19" s="8" t="s">
        <v>241</v>
      </c>
      <c r="J19" s="8" t="s">
        <v>242</v>
      </c>
      <c r="K19" s="8" t="s">
        <v>243</v>
      </c>
      <c r="L19" s="16" t="s">
        <v>244</v>
      </c>
      <c r="M19" s="8" t="s">
        <v>245</v>
      </c>
      <c r="N19" s="8" t="s">
        <v>104</v>
      </c>
    </row>
    <row r="20" spans="1:14" ht="60" customHeight="1" x14ac:dyDescent="0.45">
      <c r="A20" s="15" t="s">
        <v>121</v>
      </c>
      <c r="B20" s="8" t="s">
        <v>246</v>
      </c>
      <c r="C20" s="8" t="s">
        <v>247</v>
      </c>
      <c r="D20" s="8" t="s">
        <v>124</v>
      </c>
      <c r="E20" s="8" t="s">
        <v>125</v>
      </c>
      <c r="F20" s="8" t="s">
        <v>126</v>
      </c>
      <c r="G20" s="8" t="s">
        <v>248</v>
      </c>
      <c r="H20" s="8" t="s">
        <v>249</v>
      </c>
      <c r="I20" s="8" t="s">
        <v>250</v>
      </c>
      <c r="J20" s="8" t="s">
        <v>251</v>
      </c>
      <c r="K20" s="8" t="s">
        <v>252</v>
      </c>
      <c r="L20" s="16" t="s">
        <v>253</v>
      </c>
      <c r="M20" s="8" t="s">
        <v>254</v>
      </c>
      <c r="N20" s="8" t="s">
        <v>104</v>
      </c>
    </row>
    <row r="21" spans="1:14" ht="60" customHeight="1" x14ac:dyDescent="0.45">
      <c r="A21" s="15" t="s">
        <v>121</v>
      </c>
      <c r="B21" s="8" t="s">
        <v>246</v>
      </c>
      <c r="C21" s="8" t="s">
        <v>255</v>
      </c>
      <c r="D21" s="8" t="s">
        <v>124</v>
      </c>
      <c r="E21" s="8" t="s">
        <v>125</v>
      </c>
      <c r="F21" s="8" t="s">
        <v>126</v>
      </c>
      <c r="G21" s="8" t="s">
        <v>256</v>
      </c>
      <c r="H21" s="8" t="s">
        <v>249</v>
      </c>
      <c r="I21" s="8" t="s">
        <v>257</v>
      </c>
      <c r="J21" s="8" t="s">
        <v>258</v>
      </c>
      <c r="K21" s="8" t="s">
        <v>259</v>
      </c>
      <c r="L21" s="16" t="s">
        <v>260</v>
      </c>
      <c r="M21" s="8" t="s">
        <v>261</v>
      </c>
      <c r="N21" s="8" t="s">
        <v>104</v>
      </c>
    </row>
    <row r="22" spans="1:14" ht="60" customHeight="1" x14ac:dyDescent="0.45">
      <c r="A22" s="15" t="s">
        <v>121</v>
      </c>
      <c r="B22" s="8" t="s">
        <v>262</v>
      </c>
      <c r="C22" s="8" t="s">
        <v>263</v>
      </c>
      <c r="D22" s="8" t="s">
        <v>124</v>
      </c>
      <c r="E22" s="8" t="s">
        <v>125</v>
      </c>
      <c r="F22" s="8" t="s">
        <v>126</v>
      </c>
      <c r="G22" s="8" t="s">
        <v>264</v>
      </c>
      <c r="H22" s="8" t="s">
        <v>265</v>
      </c>
      <c r="I22" s="8" t="s">
        <v>266</v>
      </c>
      <c r="J22" s="8" t="s">
        <v>267</v>
      </c>
      <c r="K22" s="8" t="s">
        <v>268</v>
      </c>
      <c r="L22" s="16" t="s">
        <v>269</v>
      </c>
      <c r="M22" s="8" t="s">
        <v>270</v>
      </c>
      <c r="N22" s="8" t="s">
        <v>104</v>
      </c>
    </row>
    <row r="23" spans="1:14" ht="60" customHeight="1" x14ac:dyDescent="0.45">
      <c r="A23" s="15" t="s">
        <v>121</v>
      </c>
      <c r="B23" s="8" t="s">
        <v>262</v>
      </c>
      <c r="C23" s="8" t="s">
        <v>271</v>
      </c>
      <c r="D23" s="8" t="s">
        <v>124</v>
      </c>
      <c r="E23" s="8" t="s">
        <v>125</v>
      </c>
      <c r="F23" s="8" t="s">
        <v>126</v>
      </c>
      <c r="G23" s="8" t="s">
        <v>272</v>
      </c>
      <c r="H23" s="8" t="s">
        <v>273</v>
      </c>
      <c r="I23" s="8" t="s">
        <v>274</v>
      </c>
      <c r="J23" s="8" t="s">
        <v>275</v>
      </c>
      <c r="K23" s="8" t="s">
        <v>276</v>
      </c>
      <c r="L23" s="16" t="s">
        <v>277</v>
      </c>
      <c r="M23" s="8" t="s">
        <v>278</v>
      </c>
      <c r="N23" s="8" t="s">
        <v>104</v>
      </c>
    </row>
    <row r="24" spans="1:14" ht="60" customHeight="1" x14ac:dyDescent="0.45">
      <c r="A24" s="15" t="s">
        <v>121</v>
      </c>
      <c r="B24" s="8" t="s">
        <v>279</v>
      </c>
      <c r="C24" s="8" t="s">
        <v>280</v>
      </c>
      <c r="D24" s="8" t="s">
        <v>124</v>
      </c>
      <c r="E24" s="8" t="s">
        <v>125</v>
      </c>
      <c r="F24" s="8" t="s">
        <v>126</v>
      </c>
      <c r="G24" s="8" t="s">
        <v>281</v>
      </c>
      <c r="H24" s="8" t="s">
        <v>282</v>
      </c>
      <c r="I24" s="8" t="s">
        <v>283</v>
      </c>
      <c r="J24" s="8" t="s">
        <v>284</v>
      </c>
      <c r="K24" s="8" t="s">
        <v>285</v>
      </c>
      <c r="L24" s="16" t="s">
        <v>286</v>
      </c>
      <c r="M24" s="8" t="s">
        <v>287</v>
      </c>
      <c r="N24" s="8" t="s">
        <v>104</v>
      </c>
    </row>
  </sheetData>
  <mergeCells count="2">
    <mergeCell ref="A1:N1"/>
    <mergeCell ref="A2:N2"/>
  </mergeCells>
  <hyperlinks>
    <hyperlink ref="M5" r:id="rId1" xr:uid="{CD0F25B1-33D4-4E03-A147-7C6300E2A5A3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zoomScaleNormal="100" workbookViewId="0">
      <pane xSplit="2" ySplit="4" topLeftCell="C19" activePane="bottomRight" state="frozen"/>
      <selection pane="topRight" activeCell="C1" sqref="C1"/>
      <selection pane="bottomLeft" activeCell="A5" sqref="A5"/>
      <selection pane="bottomRight" sqref="A1:L1"/>
    </sheetView>
  </sheetViews>
  <sheetFormatPr defaultColWidth="8.6640625" defaultRowHeight="14.25" x14ac:dyDescent="0.45"/>
  <cols>
    <col min="1" max="1" width="10" customWidth="1"/>
    <col min="2" max="2" width="20" customWidth="1"/>
    <col min="3" max="3" width="16" customWidth="1"/>
    <col min="4" max="4" width="40" customWidth="1"/>
    <col min="5" max="6" width="26" customWidth="1"/>
    <col min="7" max="7" width="12" customWidth="1"/>
    <col min="8" max="9" width="20" customWidth="1"/>
    <col min="10" max="10" width="26" customWidth="1"/>
    <col min="11" max="11" width="40" customWidth="1"/>
    <col min="12" max="12" width="30" customWidth="1"/>
  </cols>
  <sheetData>
    <row r="1" spans="1:12" ht="25.5" customHeight="1" x14ac:dyDescent="0.45">
      <c r="A1" s="4" t="s">
        <v>288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75" customHeight="1" x14ac:dyDescent="0.45">
      <c r="A2" s="3" t="s">
        <v>289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ht="41.65" x14ac:dyDescent="0.45">
      <c r="A4" s="14" t="s">
        <v>108</v>
      </c>
      <c r="B4" s="14" t="s">
        <v>109</v>
      </c>
      <c r="C4" s="14" t="s">
        <v>290</v>
      </c>
      <c r="D4" s="14" t="s">
        <v>291</v>
      </c>
      <c r="E4" s="14" t="s">
        <v>292</v>
      </c>
      <c r="F4" s="14" t="s">
        <v>293</v>
      </c>
      <c r="G4" s="14" t="s">
        <v>294</v>
      </c>
      <c r="H4" s="14" t="s">
        <v>295</v>
      </c>
      <c r="I4" s="14" t="s">
        <v>296</v>
      </c>
      <c r="J4" s="14" t="s">
        <v>297</v>
      </c>
      <c r="K4" s="14" t="s">
        <v>298</v>
      </c>
      <c r="L4" s="14" t="s">
        <v>299</v>
      </c>
    </row>
    <row r="5" spans="1:12" ht="60" customHeight="1" x14ac:dyDescent="0.45">
      <c r="A5" s="8" t="s">
        <v>122</v>
      </c>
      <c r="B5" s="8" t="s">
        <v>123</v>
      </c>
      <c r="C5" s="17">
        <v>117499</v>
      </c>
      <c r="D5" s="8" t="s">
        <v>300</v>
      </c>
      <c r="E5" s="8" t="s">
        <v>301</v>
      </c>
      <c r="F5" s="8" t="s">
        <v>302</v>
      </c>
      <c r="G5" s="8" t="s">
        <v>303</v>
      </c>
      <c r="H5" s="8" t="s">
        <v>304</v>
      </c>
      <c r="I5" s="8" t="s">
        <v>305</v>
      </c>
      <c r="J5" s="8" t="s">
        <v>306</v>
      </c>
      <c r="K5" s="8" t="s">
        <v>307</v>
      </c>
      <c r="L5" s="8" t="s">
        <v>133</v>
      </c>
    </row>
    <row r="6" spans="1:12" ht="60" customHeight="1" x14ac:dyDescent="0.45">
      <c r="A6" s="8" t="s">
        <v>134</v>
      </c>
      <c r="B6" s="8" t="s">
        <v>135</v>
      </c>
      <c r="C6" s="17">
        <v>92270</v>
      </c>
      <c r="D6" s="18" t="s">
        <v>308</v>
      </c>
      <c r="E6" s="8" t="s">
        <v>309</v>
      </c>
      <c r="F6" s="8" t="s">
        <v>310</v>
      </c>
      <c r="G6" s="8" t="s">
        <v>311</v>
      </c>
      <c r="H6" s="8" t="s">
        <v>312</v>
      </c>
      <c r="I6" s="8" t="s">
        <v>313</v>
      </c>
      <c r="J6" s="8" t="s">
        <v>306</v>
      </c>
      <c r="K6" s="8" t="s">
        <v>314</v>
      </c>
      <c r="L6" s="8" t="s">
        <v>142</v>
      </c>
    </row>
    <row r="7" spans="1:12" ht="60" customHeight="1" x14ac:dyDescent="0.45">
      <c r="A7" s="8" t="s">
        <v>134</v>
      </c>
      <c r="B7" s="8" t="s">
        <v>143</v>
      </c>
      <c r="C7" s="17">
        <v>122106</v>
      </c>
      <c r="D7" s="8" t="s">
        <v>315</v>
      </c>
      <c r="E7" s="8" t="s">
        <v>316</v>
      </c>
      <c r="F7" s="8" t="s">
        <v>317</v>
      </c>
      <c r="G7" s="8" t="s">
        <v>318</v>
      </c>
      <c r="H7" s="8" t="s">
        <v>319</v>
      </c>
      <c r="I7" s="8" t="s">
        <v>320</v>
      </c>
      <c r="J7" s="8" t="s">
        <v>321</v>
      </c>
      <c r="K7" s="8" t="s">
        <v>322</v>
      </c>
      <c r="L7" s="8" t="s">
        <v>150</v>
      </c>
    </row>
    <row r="8" spans="1:12" ht="60" customHeight="1" x14ac:dyDescent="0.45">
      <c r="A8" s="8" t="s">
        <v>134</v>
      </c>
      <c r="B8" s="8" t="s">
        <v>151</v>
      </c>
      <c r="C8" s="17">
        <v>142202</v>
      </c>
      <c r="D8" s="18" t="s">
        <v>323</v>
      </c>
      <c r="E8" s="8" t="s">
        <v>324</v>
      </c>
      <c r="F8" s="8" t="s">
        <v>325</v>
      </c>
      <c r="G8" s="8" t="s">
        <v>326</v>
      </c>
      <c r="H8" s="8" t="s">
        <v>327</v>
      </c>
      <c r="I8" s="8" t="s">
        <v>328</v>
      </c>
      <c r="J8" s="8" t="s">
        <v>329</v>
      </c>
      <c r="K8" s="8" t="s">
        <v>314</v>
      </c>
      <c r="L8" s="8" t="s">
        <v>158</v>
      </c>
    </row>
    <row r="9" spans="1:12" ht="60" customHeight="1" x14ac:dyDescent="0.45">
      <c r="A9" s="8" t="s">
        <v>134</v>
      </c>
      <c r="B9" s="8" t="s">
        <v>159</v>
      </c>
      <c r="C9" s="17">
        <v>99622</v>
      </c>
      <c r="D9" s="8" t="s">
        <v>330</v>
      </c>
      <c r="E9" s="8" t="s">
        <v>331</v>
      </c>
      <c r="F9" s="8" t="s">
        <v>332</v>
      </c>
      <c r="G9" s="8" t="s">
        <v>333</v>
      </c>
      <c r="H9" s="8" t="s">
        <v>327</v>
      </c>
      <c r="I9" s="8" t="s">
        <v>334</v>
      </c>
      <c r="J9" s="8" t="s">
        <v>335</v>
      </c>
      <c r="K9" s="8" t="s">
        <v>314</v>
      </c>
      <c r="L9" s="8" t="s">
        <v>166</v>
      </c>
    </row>
    <row r="10" spans="1:12" ht="60" customHeight="1" x14ac:dyDescent="0.45">
      <c r="A10" s="8" t="s">
        <v>134</v>
      </c>
      <c r="B10" s="8" t="s">
        <v>167</v>
      </c>
      <c r="C10" s="17">
        <v>126301</v>
      </c>
      <c r="D10" s="18" t="s">
        <v>336</v>
      </c>
      <c r="E10" s="8" t="s">
        <v>337</v>
      </c>
      <c r="F10" s="8" t="s">
        <v>338</v>
      </c>
      <c r="G10" s="8" t="s">
        <v>303</v>
      </c>
      <c r="H10" s="8" t="s">
        <v>327</v>
      </c>
      <c r="I10" s="8" t="s">
        <v>327</v>
      </c>
      <c r="J10" s="8" t="s">
        <v>329</v>
      </c>
      <c r="K10" s="8" t="s">
        <v>314</v>
      </c>
      <c r="L10" s="8" t="s">
        <v>173</v>
      </c>
    </row>
    <row r="11" spans="1:12" ht="60" customHeight="1" x14ac:dyDescent="0.45">
      <c r="A11" s="8" t="s">
        <v>134</v>
      </c>
      <c r="B11" s="8" t="s">
        <v>174</v>
      </c>
      <c r="C11" s="17">
        <v>138302</v>
      </c>
      <c r="D11" s="18" t="s">
        <v>339</v>
      </c>
      <c r="E11" s="8" t="s">
        <v>340</v>
      </c>
      <c r="F11" s="8" t="s">
        <v>341</v>
      </c>
      <c r="G11" s="8" t="s">
        <v>342</v>
      </c>
      <c r="H11" s="8" t="s">
        <v>327</v>
      </c>
      <c r="I11" s="8" t="s">
        <v>327</v>
      </c>
      <c r="J11" s="8" t="s">
        <v>329</v>
      </c>
      <c r="K11" s="8" t="s">
        <v>314</v>
      </c>
      <c r="L11" s="8" t="s">
        <v>181</v>
      </c>
    </row>
    <row r="12" spans="1:12" ht="60" customHeight="1" x14ac:dyDescent="0.45">
      <c r="A12" s="8" t="s">
        <v>134</v>
      </c>
      <c r="B12" s="8" t="s">
        <v>182</v>
      </c>
      <c r="C12" s="17">
        <v>186015</v>
      </c>
      <c r="D12" s="18" t="s">
        <v>343</v>
      </c>
      <c r="E12" s="8" t="s">
        <v>344</v>
      </c>
      <c r="F12" s="8" t="s">
        <v>345</v>
      </c>
      <c r="G12" s="8" t="s">
        <v>346</v>
      </c>
      <c r="H12" s="8" t="s">
        <v>347</v>
      </c>
      <c r="I12" s="8" t="s">
        <v>348</v>
      </c>
      <c r="J12" s="8" t="s">
        <v>349</v>
      </c>
      <c r="K12" s="8" t="s">
        <v>314</v>
      </c>
      <c r="L12" s="8" t="s">
        <v>189</v>
      </c>
    </row>
    <row r="13" spans="1:12" ht="60" customHeight="1" x14ac:dyDescent="0.45">
      <c r="A13" s="8" t="s">
        <v>134</v>
      </c>
      <c r="B13" s="8" t="s">
        <v>190</v>
      </c>
      <c r="C13" s="17">
        <v>180528</v>
      </c>
      <c r="D13" s="18" t="s">
        <v>350</v>
      </c>
      <c r="E13" s="8" t="s">
        <v>351</v>
      </c>
      <c r="F13" s="8" t="s">
        <v>352</v>
      </c>
      <c r="G13" s="8" t="s">
        <v>342</v>
      </c>
      <c r="H13" s="8" t="s">
        <v>353</v>
      </c>
      <c r="I13" s="8" t="s">
        <v>348</v>
      </c>
      <c r="J13" s="8" t="s">
        <v>329</v>
      </c>
      <c r="K13" s="8" t="s">
        <v>314</v>
      </c>
      <c r="L13" s="8" t="s">
        <v>197</v>
      </c>
    </row>
    <row r="14" spans="1:12" ht="60" customHeight="1" x14ac:dyDescent="0.45">
      <c r="A14" s="8" t="s">
        <v>134</v>
      </c>
      <c r="B14" s="8" t="s">
        <v>198</v>
      </c>
      <c r="C14" s="17">
        <v>104318</v>
      </c>
      <c r="D14" s="8" t="s">
        <v>354</v>
      </c>
      <c r="E14" s="8" t="s">
        <v>355</v>
      </c>
      <c r="F14" s="8" t="s">
        <v>356</v>
      </c>
      <c r="G14" s="8" t="s">
        <v>333</v>
      </c>
      <c r="H14" s="8" t="s">
        <v>357</v>
      </c>
      <c r="I14" s="8" t="s">
        <v>358</v>
      </c>
      <c r="J14" s="8" t="s">
        <v>359</v>
      </c>
      <c r="K14" s="8" t="s">
        <v>314</v>
      </c>
      <c r="L14" s="8" t="s">
        <v>204</v>
      </c>
    </row>
    <row r="15" spans="1:12" ht="60" customHeight="1" x14ac:dyDescent="0.45">
      <c r="A15" s="8" t="s">
        <v>134</v>
      </c>
      <c r="B15" s="8" t="s">
        <v>205</v>
      </c>
      <c r="C15" s="17">
        <v>111197</v>
      </c>
      <c r="D15" s="18" t="s">
        <v>360</v>
      </c>
      <c r="E15" s="8" t="s">
        <v>361</v>
      </c>
      <c r="F15" s="8" t="s">
        <v>362</v>
      </c>
      <c r="G15" s="8" t="s">
        <v>363</v>
      </c>
      <c r="H15" s="8" t="s">
        <v>364</v>
      </c>
      <c r="I15" s="8" t="s">
        <v>365</v>
      </c>
      <c r="J15" s="8" t="s">
        <v>366</v>
      </c>
      <c r="K15" s="8" t="s">
        <v>314</v>
      </c>
      <c r="L15" s="8" t="s">
        <v>212</v>
      </c>
    </row>
    <row r="16" spans="1:12" ht="60" customHeight="1" x14ac:dyDescent="0.45">
      <c r="A16" s="8" t="s">
        <v>134</v>
      </c>
      <c r="B16" s="8" t="s">
        <v>213</v>
      </c>
      <c r="C16" s="17">
        <v>122490</v>
      </c>
      <c r="D16" s="8" t="s">
        <v>354</v>
      </c>
      <c r="E16" s="8" t="s">
        <v>367</v>
      </c>
      <c r="F16" s="8" t="s">
        <v>368</v>
      </c>
      <c r="G16" s="8" t="s">
        <v>333</v>
      </c>
      <c r="H16" s="8" t="s">
        <v>369</v>
      </c>
      <c r="I16" s="8" t="s">
        <v>370</v>
      </c>
      <c r="J16" s="8" t="s">
        <v>371</v>
      </c>
      <c r="K16" s="8" t="s">
        <v>314</v>
      </c>
      <c r="L16" s="8" t="s">
        <v>220</v>
      </c>
    </row>
    <row r="17" spans="1:12" ht="60" customHeight="1" x14ac:dyDescent="0.45">
      <c r="A17" s="8" t="s">
        <v>134</v>
      </c>
      <c r="B17" s="8" t="s">
        <v>221</v>
      </c>
      <c r="C17" s="17">
        <v>135582</v>
      </c>
      <c r="D17" s="18" t="s">
        <v>372</v>
      </c>
      <c r="E17" s="8" t="s">
        <v>373</v>
      </c>
      <c r="F17" s="8" t="s">
        <v>374</v>
      </c>
      <c r="G17" s="8" t="s">
        <v>333</v>
      </c>
      <c r="H17" s="8" t="s">
        <v>369</v>
      </c>
      <c r="I17" s="8" t="s">
        <v>370</v>
      </c>
      <c r="J17" s="8" t="s">
        <v>375</v>
      </c>
      <c r="K17" s="8" t="s">
        <v>314</v>
      </c>
      <c r="L17" s="8" t="s">
        <v>228</v>
      </c>
    </row>
    <row r="18" spans="1:12" ht="60" customHeight="1" x14ac:dyDescent="0.45">
      <c r="A18" s="8" t="s">
        <v>229</v>
      </c>
      <c r="B18" s="8" t="s">
        <v>230</v>
      </c>
      <c r="C18" s="17">
        <v>186835</v>
      </c>
      <c r="D18" s="18" t="s">
        <v>376</v>
      </c>
      <c r="E18" s="8" t="s">
        <v>377</v>
      </c>
      <c r="F18" s="8" t="s">
        <v>378</v>
      </c>
      <c r="G18" s="8" t="s">
        <v>379</v>
      </c>
      <c r="H18" s="8" t="s">
        <v>380</v>
      </c>
      <c r="I18" s="8" t="s">
        <v>381</v>
      </c>
      <c r="J18" s="8" t="s">
        <v>382</v>
      </c>
      <c r="K18" s="8" t="s">
        <v>322</v>
      </c>
      <c r="L18" s="8" t="s">
        <v>237</v>
      </c>
    </row>
    <row r="19" spans="1:12" ht="60" customHeight="1" x14ac:dyDescent="0.45">
      <c r="A19" s="8" t="s">
        <v>229</v>
      </c>
      <c r="B19" s="8" t="s">
        <v>238</v>
      </c>
      <c r="C19" s="17">
        <v>208270</v>
      </c>
      <c r="D19" s="8" t="s">
        <v>354</v>
      </c>
      <c r="E19" s="8" t="s">
        <v>383</v>
      </c>
      <c r="F19" s="8" t="s">
        <v>345</v>
      </c>
      <c r="G19" s="8" t="s">
        <v>379</v>
      </c>
      <c r="H19" s="8" t="s">
        <v>384</v>
      </c>
      <c r="I19" s="8" t="s">
        <v>370</v>
      </c>
      <c r="J19" s="8" t="s">
        <v>385</v>
      </c>
      <c r="K19" s="8" t="s">
        <v>314</v>
      </c>
      <c r="L19" s="8" t="s">
        <v>245</v>
      </c>
    </row>
    <row r="20" spans="1:12" ht="60" customHeight="1" x14ac:dyDescent="0.45">
      <c r="A20" s="8" t="s">
        <v>246</v>
      </c>
      <c r="B20" s="8" t="s">
        <v>247</v>
      </c>
      <c r="C20" s="17">
        <v>133617</v>
      </c>
      <c r="D20" s="8" t="s">
        <v>354</v>
      </c>
      <c r="E20" s="8" t="s">
        <v>386</v>
      </c>
      <c r="F20" s="8" t="s">
        <v>387</v>
      </c>
      <c r="G20" s="8" t="s">
        <v>333</v>
      </c>
      <c r="H20" s="8" t="s">
        <v>388</v>
      </c>
      <c r="I20" s="8" t="s">
        <v>358</v>
      </c>
      <c r="J20" s="8" t="s">
        <v>389</v>
      </c>
      <c r="K20" s="8" t="s">
        <v>314</v>
      </c>
      <c r="L20" s="8" t="s">
        <v>254</v>
      </c>
    </row>
    <row r="21" spans="1:12" ht="60" customHeight="1" x14ac:dyDescent="0.45">
      <c r="A21" s="8" t="s">
        <v>246</v>
      </c>
      <c r="B21" s="8" t="s">
        <v>255</v>
      </c>
      <c r="C21" s="17">
        <v>133617</v>
      </c>
      <c r="D21" s="18" t="s">
        <v>390</v>
      </c>
      <c r="E21" s="8" t="s">
        <v>391</v>
      </c>
      <c r="F21" s="8" t="s">
        <v>387</v>
      </c>
      <c r="G21" s="8" t="s">
        <v>333</v>
      </c>
      <c r="H21" s="8" t="s">
        <v>388</v>
      </c>
      <c r="I21" s="8" t="s">
        <v>358</v>
      </c>
      <c r="J21" s="8" t="s">
        <v>392</v>
      </c>
      <c r="K21" s="8" t="s">
        <v>314</v>
      </c>
      <c r="L21" s="8" t="s">
        <v>261</v>
      </c>
    </row>
    <row r="22" spans="1:12" ht="60" customHeight="1" x14ac:dyDescent="0.45">
      <c r="A22" s="8" t="s">
        <v>262</v>
      </c>
      <c r="B22" s="8" t="s">
        <v>263</v>
      </c>
      <c r="C22" s="17">
        <v>72942</v>
      </c>
      <c r="D22" s="8" t="s">
        <v>354</v>
      </c>
      <c r="E22" s="8" t="s">
        <v>393</v>
      </c>
      <c r="F22" s="8" t="s">
        <v>394</v>
      </c>
      <c r="G22" s="8" t="s">
        <v>395</v>
      </c>
      <c r="H22" s="8" t="s">
        <v>358</v>
      </c>
      <c r="I22" s="8" t="s">
        <v>396</v>
      </c>
      <c r="J22" s="8" t="s">
        <v>397</v>
      </c>
      <c r="K22" s="8" t="s">
        <v>398</v>
      </c>
      <c r="L22" s="8" t="s">
        <v>270</v>
      </c>
    </row>
    <row r="23" spans="1:12" ht="60" customHeight="1" x14ac:dyDescent="0.45">
      <c r="A23" s="8" t="s">
        <v>262</v>
      </c>
      <c r="B23" s="8" t="s">
        <v>271</v>
      </c>
      <c r="C23" s="17">
        <v>75797</v>
      </c>
      <c r="D23" s="8" t="s">
        <v>399</v>
      </c>
      <c r="E23" s="8" t="s">
        <v>393</v>
      </c>
      <c r="F23" s="8" t="s">
        <v>400</v>
      </c>
      <c r="G23" s="8" t="s">
        <v>401</v>
      </c>
      <c r="H23" s="8" t="s">
        <v>358</v>
      </c>
      <c r="I23" s="8" t="s">
        <v>396</v>
      </c>
      <c r="J23" s="8" t="s">
        <v>359</v>
      </c>
      <c r="K23" s="8" t="s">
        <v>402</v>
      </c>
      <c r="L23" s="8" t="s">
        <v>278</v>
      </c>
    </row>
    <row r="24" spans="1:12" ht="60" customHeight="1" x14ac:dyDescent="0.45">
      <c r="A24" s="8" t="s">
        <v>279</v>
      </c>
      <c r="B24" s="8" t="s">
        <v>280</v>
      </c>
      <c r="C24" s="17">
        <v>74930</v>
      </c>
      <c r="D24" s="18" t="s">
        <v>403</v>
      </c>
      <c r="E24" s="8" t="s">
        <v>404</v>
      </c>
      <c r="F24" s="8" t="s">
        <v>405</v>
      </c>
      <c r="G24" s="8" t="s">
        <v>395</v>
      </c>
      <c r="H24" s="8" t="s">
        <v>358</v>
      </c>
      <c r="I24" s="8" t="s">
        <v>396</v>
      </c>
      <c r="J24" s="8" t="s">
        <v>359</v>
      </c>
      <c r="K24" s="8" t="s">
        <v>402</v>
      </c>
      <c r="L24" s="8" t="s">
        <v>287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G1"/>
    </sheetView>
  </sheetViews>
  <sheetFormatPr defaultColWidth="8.6640625" defaultRowHeight="14.25" x14ac:dyDescent="0.45"/>
  <cols>
    <col min="1" max="1" width="20" customWidth="1"/>
    <col min="2" max="2" width="16" customWidth="1"/>
    <col min="3" max="3" width="12" customWidth="1"/>
    <col min="4" max="4" width="16" customWidth="1"/>
    <col min="5" max="5" width="34" customWidth="1"/>
    <col min="6" max="6" width="14" customWidth="1"/>
    <col min="7" max="7" width="44" customWidth="1"/>
  </cols>
  <sheetData>
    <row r="1" spans="1:7" ht="25.5" customHeight="1" x14ac:dyDescent="0.45">
      <c r="A1" s="4" t="s">
        <v>406</v>
      </c>
      <c r="B1" s="4"/>
      <c r="C1" s="4"/>
      <c r="D1" s="4"/>
      <c r="E1" s="4"/>
      <c r="F1" s="4"/>
      <c r="G1" s="4"/>
    </row>
    <row r="2" spans="1:7" ht="15.75" customHeight="1" x14ac:dyDescent="0.45">
      <c r="A2" s="3" t="s">
        <v>407</v>
      </c>
      <c r="B2" s="3"/>
      <c r="C2" s="3"/>
      <c r="D2" s="3"/>
      <c r="E2" s="3"/>
      <c r="F2" s="3"/>
      <c r="G2" s="3"/>
    </row>
    <row r="4" spans="1:7" ht="27.75" x14ac:dyDescent="0.45">
      <c r="A4" s="14" t="s">
        <v>109</v>
      </c>
      <c r="B4" s="14" t="s">
        <v>408</v>
      </c>
      <c r="C4" s="14" t="s">
        <v>409</v>
      </c>
      <c r="D4" s="14" t="s">
        <v>410</v>
      </c>
      <c r="E4" s="14" t="s">
        <v>411</v>
      </c>
      <c r="F4" s="14" t="s">
        <v>412</v>
      </c>
      <c r="G4" s="14" t="s">
        <v>413</v>
      </c>
    </row>
    <row r="5" spans="1:7" ht="39.75" customHeight="1" x14ac:dyDescent="0.45">
      <c r="A5" s="15" t="s">
        <v>123</v>
      </c>
      <c r="B5" s="19">
        <v>117499</v>
      </c>
      <c r="C5" s="8" t="s">
        <v>414</v>
      </c>
      <c r="D5" s="8" t="s">
        <v>415</v>
      </c>
      <c r="E5" s="8" t="s">
        <v>416</v>
      </c>
      <c r="F5" s="8" t="s">
        <v>417</v>
      </c>
      <c r="G5" s="8" t="s">
        <v>300</v>
      </c>
    </row>
    <row r="6" spans="1:7" ht="39.75" customHeight="1" x14ac:dyDescent="0.45">
      <c r="A6" s="15" t="s">
        <v>135</v>
      </c>
      <c r="B6" s="19">
        <v>92270</v>
      </c>
      <c r="C6" s="8" t="s">
        <v>414</v>
      </c>
      <c r="D6" s="8" t="s">
        <v>415</v>
      </c>
      <c r="E6" s="8" t="s">
        <v>416</v>
      </c>
      <c r="F6" s="8" t="s">
        <v>417</v>
      </c>
      <c r="G6" s="8" t="s">
        <v>308</v>
      </c>
    </row>
    <row r="7" spans="1:7" ht="39.75" customHeight="1" x14ac:dyDescent="0.45">
      <c r="A7" s="15" t="s">
        <v>143</v>
      </c>
      <c r="B7" s="19">
        <v>122106</v>
      </c>
      <c r="C7" s="8" t="s">
        <v>414</v>
      </c>
      <c r="D7" s="8" t="s">
        <v>415</v>
      </c>
      <c r="E7" s="8" t="s">
        <v>416</v>
      </c>
      <c r="F7" s="8" t="s">
        <v>417</v>
      </c>
      <c r="G7" s="8" t="s">
        <v>315</v>
      </c>
    </row>
    <row r="8" spans="1:7" ht="39.75" customHeight="1" x14ac:dyDescent="0.45">
      <c r="A8" s="15" t="s">
        <v>151</v>
      </c>
      <c r="B8" s="19">
        <v>142202</v>
      </c>
      <c r="C8" s="8" t="s">
        <v>414</v>
      </c>
      <c r="D8" s="8" t="s">
        <v>415</v>
      </c>
      <c r="E8" s="8" t="s">
        <v>416</v>
      </c>
      <c r="F8" s="8" t="s">
        <v>417</v>
      </c>
      <c r="G8" s="8" t="s">
        <v>323</v>
      </c>
    </row>
    <row r="9" spans="1:7" ht="39.75" customHeight="1" x14ac:dyDescent="0.45">
      <c r="A9" s="15" t="s">
        <v>159</v>
      </c>
      <c r="B9" s="19">
        <v>99622</v>
      </c>
      <c r="C9" s="8" t="s">
        <v>414</v>
      </c>
      <c r="D9" s="8" t="s">
        <v>415</v>
      </c>
      <c r="E9" s="8" t="s">
        <v>416</v>
      </c>
      <c r="F9" s="8" t="s">
        <v>417</v>
      </c>
      <c r="G9" s="8" t="s">
        <v>330</v>
      </c>
    </row>
    <row r="10" spans="1:7" ht="39.75" customHeight="1" x14ac:dyDescent="0.45">
      <c r="A10" s="15" t="s">
        <v>167</v>
      </c>
      <c r="B10" s="19">
        <v>126301</v>
      </c>
      <c r="C10" s="8" t="s">
        <v>414</v>
      </c>
      <c r="D10" s="8" t="s">
        <v>415</v>
      </c>
      <c r="E10" s="8" t="s">
        <v>416</v>
      </c>
      <c r="F10" s="8" t="s">
        <v>417</v>
      </c>
      <c r="G10" s="8" t="s">
        <v>336</v>
      </c>
    </row>
    <row r="11" spans="1:7" ht="39.75" customHeight="1" x14ac:dyDescent="0.45">
      <c r="A11" s="15" t="s">
        <v>174</v>
      </c>
      <c r="B11" s="19">
        <v>138302</v>
      </c>
      <c r="C11" s="8" t="s">
        <v>414</v>
      </c>
      <c r="D11" s="8" t="s">
        <v>415</v>
      </c>
      <c r="E11" s="8" t="s">
        <v>416</v>
      </c>
      <c r="F11" s="8" t="s">
        <v>417</v>
      </c>
      <c r="G11" s="8" t="s">
        <v>339</v>
      </c>
    </row>
    <row r="12" spans="1:7" ht="39.75" customHeight="1" x14ac:dyDescent="0.45">
      <c r="A12" s="15" t="s">
        <v>182</v>
      </c>
      <c r="B12" s="19">
        <v>186015</v>
      </c>
      <c r="C12" s="8" t="s">
        <v>414</v>
      </c>
      <c r="D12" s="8" t="s">
        <v>415</v>
      </c>
      <c r="E12" s="8" t="s">
        <v>416</v>
      </c>
      <c r="F12" s="8" t="s">
        <v>417</v>
      </c>
      <c r="G12" s="8" t="s">
        <v>343</v>
      </c>
    </row>
    <row r="13" spans="1:7" ht="39.75" customHeight="1" x14ac:dyDescent="0.45">
      <c r="A13" s="15" t="s">
        <v>190</v>
      </c>
      <c r="B13" s="19">
        <v>180528</v>
      </c>
      <c r="C13" s="8" t="s">
        <v>414</v>
      </c>
      <c r="D13" s="8" t="s">
        <v>415</v>
      </c>
      <c r="E13" s="8" t="s">
        <v>416</v>
      </c>
      <c r="F13" s="8" t="s">
        <v>417</v>
      </c>
      <c r="G13" s="8" t="s">
        <v>350</v>
      </c>
    </row>
    <row r="14" spans="1:7" ht="39.75" customHeight="1" x14ac:dyDescent="0.45">
      <c r="A14" s="15" t="s">
        <v>198</v>
      </c>
      <c r="B14" s="19">
        <v>104318</v>
      </c>
      <c r="C14" s="8" t="s">
        <v>414</v>
      </c>
      <c r="D14" s="8" t="s">
        <v>415</v>
      </c>
      <c r="E14" s="8" t="s">
        <v>416</v>
      </c>
      <c r="F14" s="8" t="s">
        <v>417</v>
      </c>
      <c r="G14" s="8" t="s">
        <v>354</v>
      </c>
    </row>
    <row r="15" spans="1:7" ht="39.75" customHeight="1" x14ac:dyDescent="0.45">
      <c r="A15" s="15" t="s">
        <v>205</v>
      </c>
      <c r="B15" s="19">
        <v>111197</v>
      </c>
      <c r="C15" s="8" t="s">
        <v>414</v>
      </c>
      <c r="D15" s="8" t="s">
        <v>415</v>
      </c>
      <c r="E15" s="8" t="s">
        <v>416</v>
      </c>
      <c r="F15" s="8" t="s">
        <v>417</v>
      </c>
      <c r="G15" s="8" t="s">
        <v>360</v>
      </c>
    </row>
    <row r="16" spans="1:7" ht="39.75" customHeight="1" x14ac:dyDescent="0.45">
      <c r="A16" s="15" t="s">
        <v>213</v>
      </c>
      <c r="B16" s="19">
        <v>122490</v>
      </c>
      <c r="C16" s="8" t="s">
        <v>414</v>
      </c>
      <c r="D16" s="8" t="s">
        <v>415</v>
      </c>
      <c r="E16" s="8" t="s">
        <v>416</v>
      </c>
      <c r="F16" s="8" t="s">
        <v>417</v>
      </c>
      <c r="G16" s="8" t="s">
        <v>354</v>
      </c>
    </row>
    <row r="17" spans="1:7" ht="39.75" customHeight="1" x14ac:dyDescent="0.45">
      <c r="A17" s="15" t="s">
        <v>221</v>
      </c>
      <c r="B17" s="19">
        <v>135582</v>
      </c>
      <c r="C17" s="8" t="s">
        <v>414</v>
      </c>
      <c r="D17" s="8" t="s">
        <v>415</v>
      </c>
      <c r="E17" s="8" t="s">
        <v>416</v>
      </c>
      <c r="F17" s="8" t="s">
        <v>417</v>
      </c>
      <c r="G17" s="8" t="s">
        <v>372</v>
      </c>
    </row>
    <row r="18" spans="1:7" ht="39.75" customHeight="1" x14ac:dyDescent="0.45">
      <c r="A18" s="15" t="s">
        <v>230</v>
      </c>
      <c r="B18" s="19">
        <v>186835</v>
      </c>
      <c r="C18" s="8" t="s">
        <v>414</v>
      </c>
      <c r="D18" s="8" t="s">
        <v>415</v>
      </c>
      <c r="E18" s="8" t="s">
        <v>416</v>
      </c>
      <c r="F18" s="8" t="s">
        <v>417</v>
      </c>
      <c r="G18" s="8" t="s">
        <v>376</v>
      </c>
    </row>
    <row r="19" spans="1:7" ht="39.75" customHeight="1" x14ac:dyDescent="0.45">
      <c r="A19" s="15" t="s">
        <v>238</v>
      </c>
      <c r="B19" s="19">
        <v>208270</v>
      </c>
      <c r="C19" s="8" t="s">
        <v>414</v>
      </c>
      <c r="D19" s="8" t="s">
        <v>415</v>
      </c>
      <c r="E19" s="8" t="s">
        <v>416</v>
      </c>
      <c r="F19" s="8" t="s">
        <v>417</v>
      </c>
      <c r="G19" s="8" t="s">
        <v>354</v>
      </c>
    </row>
    <row r="20" spans="1:7" ht="39.75" customHeight="1" x14ac:dyDescent="0.45">
      <c r="A20" s="15" t="s">
        <v>247</v>
      </c>
      <c r="B20" s="19">
        <v>133617</v>
      </c>
      <c r="C20" s="8" t="s">
        <v>414</v>
      </c>
      <c r="D20" s="8" t="s">
        <v>415</v>
      </c>
      <c r="E20" s="8" t="s">
        <v>416</v>
      </c>
      <c r="F20" s="8" t="s">
        <v>417</v>
      </c>
      <c r="G20" s="8" t="s">
        <v>354</v>
      </c>
    </row>
    <row r="21" spans="1:7" ht="39.75" customHeight="1" x14ac:dyDescent="0.45">
      <c r="A21" s="15" t="s">
        <v>255</v>
      </c>
      <c r="B21" s="19">
        <v>133617</v>
      </c>
      <c r="C21" s="8" t="s">
        <v>414</v>
      </c>
      <c r="D21" s="8" t="s">
        <v>415</v>
      </c>
      <c r="E21" s="8" t="s">
        <v>416</v>
      </c>
      <c r="F21" s="8" t="s">
        <v>417</v>
      </c>
      <c r="G21" s="8" t="s">
        <v>390</v>
      </c>
    </row>
    <row r="22" spans="1:7" ht="39.75" customHeight="1" x14ac:dyDescent="0.45">
      <c r="A22" s="15" t="s">
        <v>263</v>
      </c>
      <c r="B22" s="19">
        <v>72942</v>
      </c>
      <c r="C22" s="8" t="s">
        <v>414</v>
      </c>
      <c r="D22" s="8" t="s">
        <v>415</v>
      </c>
      <c r="E22" s="8" t="s">
        <v>416</v>
      </c>
      <c r="F22" s="8" t="s">
        <v>417</v>
      </c>
      <c r="G22" s="8" t="s">
        <v>354</v>
      </c>
    </row>
    <row r="23" spans="1:7" ht="39.75" customHeight="1" x14ac:dyDescent="0.45">
      <c r="A23" s="15" t="s">
        <v>271</v>
      </c>
      <c r="B23" s="19">
        <v>75797</v>
      </c>
      <c r="C23" s="8" t="s">
        <v>414</v>
      </c>
      <c r="D23" s="8" t="s">
        <v>415</v>
      </c>
      <c r="E23" s="8" t="s">
        <v>416</v>
      </c>
      <c r="F23" s="8" t="s">
        <v>417</v>
      </c>
      <c r="G23" s="8" t="s">
        <v>399</v>
      </c>
    </row>
    <row r="24" spans="1:7" ht="39.75" customHeight="1" x14ac:dyDescent="0.45">
      <c r="A24" s="15" t="s">
        <v>280</v>
      </c>
      <c r="B24" s="19">
        <v>74930</v>
      </c>
      <c r="C24" s="8" t="s">
        <v>414</v>
      </c>
      <c r="D24" s="8" t="s">
        <v>415</v>
      </c>
      <c r="E24" s="8" t="s">
        <v>416</v>
      </c>
      <c r="F24" s="8" t="s">
        <v>417</v>
      </c>
      <c r="G24" s="8" t="s">
        <v>403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ColWidth="8.6640625" defaultRowHeight="14.25" x14ac:dyDescent="0.45"/>
  <cols>
    <col min="1" max="1" width="20" customWidth="1"/>
    <col min="2" max="2" width="12" customWidth="1"/>
    <col min="3" max="3" width="26" customWidth="1"/>
    <col min="4" max="4" width="22" customWidth="1"/>
    <col min="5" max="5" width="20" customWidth="1"/>
    <col min="6" max="6" width="24" customWidth="1"/>
    <col min="7" max="7" width="16" customWidth="1"/>
    <col min="8" max="8" width="26" customWidth="1"/>
    <col min="9" max="9" width="18" customWidth="1"/>
    <col min="10" max="10" width="34" customWidth="1"/>
  </cols>
  <sheetData>
    <row r="1" spans="1:10" ht="25.5" customHeight="1" x14ac:dyDescent="0.45">
      <c r="A1" s="4" t="s">
        <v>418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 customHeight="1" x14ac:dyDescent="0.45">
      <c r="A2" s="3" t="s">
        <v>419</v>
      </c>
      <c r="B2" s="3"/>
      <c r="C2" s="3"/>
      <c r="D2" s="3"/>
      <c r="E2" s="3"/>
      <c r="F2" s="3"/>
      <c r="G2" s="3"/>
      <c r="H2" s="3"/>
      <c r="I2" s="3"/>
      <c r="J2" s="3"/>
    </row>
    <row r="4" spans="1:10" ht="27.75" x14ac:dyDescent="0.45">
      <c r="A4" s="14" t="s">
        <v>109</v>
      </c>
      <c r="B4" s="14" t="s">
        <v>420</v>
      </c>
      <c r="C4" s="14" t="s">
        <v>421</v>
      </c>
      <c r="D4" s="14" t="s">
        <v>422</v>
      </c>
      <c r="E4" s="14" t="s">
        <v>423</v>
      </c>
      <c r="F4" s="14" t="s">
        <v>294</v>
      </c>
      <c r="G4" s="14" t="s">
        <v>424</v>
      </c>
      <c r="H4" s="14" t="s">
        <v>425</v>
      </c>
      <c r="I4" s="14" t="s">
        <v>426</v>
      </c>
      <c r="J4" s="14" t="s">
        <v>427</v>
      </c>
    </row>
    <row r="5" spans="1:10" ht="39.75" customHeight="1" x14ac:dyDescent="0.45">
      <c r="A5" s="8" t="s">
        <v>123</v>
      </c>
      <c r="B5" s="8">
        <v>124.6</v>
      </c>
      <c r="C5" s="8" t="s">
        <v>428</v>
      </c>
      <c r="D5" s="8" t="s">
        <v>429</v>
      </c>
      <c r="E5" s="8" t="s">
        <v>430</v>
      </c>
      <c r="F5" s="16" t="s">
        <v>303</v>
      </c>
      <c r="G5" s="16" t="s">
        <v>431</v>
      </c>
      <c r="H5" s="8" t="s">
        <v>432</v>
      </c>
      <c r="I5" s="16" t="s">
        <v>433</v>
      </c>
      <c r="J5" s="8" t="s">
        <v>434</v>
      </c>
    </row>
    <row r="6" spans="1:10" ht="39.75" customHeight="1" x14ac:dyDescent="0.45">
      <c r="A6" s="8" t="s">
        <v>135</v>
      </c>
      <c r="B6" s="8">
        <v>124.59</v>
      </c>
      <c r="C6" s="8" t="s">
        <v>435</v>
      </c>
      <c r="D6" s="8" t="s">
        <v>436</v>
      </c>
      <c r="E6" s="8" t="s">
        <v>437</v>
      </c>
      <c r="F6" s="8" t="s">
        <v>311</v>
      </c>
      <c r="G6" s="16" t="s">
        <v>438</v>
      </c>
      <c r="H6" s="8" t="s">
        <v>439</v>
      </c>
      <c r="I6" s="16" t="s">
        <v>440</v>
      </c>
      <c r="J6" s="8" t="s">
        <v>441</v>
      </c>
    </row>
    <row r="7" spans="1:10" ht="39.75" customHeight="1" x14ac:dyDescent="0.45">
      <c r="A7" s="8" t="s">
        <v>143</v>
      </c>
      <c r="B7" s="8">
        <v>164.9</v>
      </c>
      <c r="C7" s="8" t="s">
        <v>442</v>
      </c>
      <c r="D7" s="8" t="s">
        <v>443</v>
      </c>
      <c r="E7" s="8" t="s">
        <v>444</v>
      </c>
      <c r="F7" s="16" t="s">
        <v>318</v>
      </c>
      <c r="G7" s="8" t="s">
        <v>445</v>
      </c>
      <c r="H7" s="8" t="s">
        <v>446</v>
      </c>
      <c r="I7" s="16" t="s">
        <v>447</v>
      </c>
      <c r="J7" s="8" t="s">
        <v>448</v>
      </c>
    </row>
    <row r="8" spans="1:10" ht="39.75" customHeight="1" x14ac:dyDescent="0.45">
      <c r="A8" s="8" t="s">
        <v>151</v>
      </c>
      <c r="B8" s="8">
        <v>249.07</v>
      </c>
      <c r="C8" s="8" t="s">
        <v>449</v>
      </c>
      <c r="D8" s="8" t="s">
        <v>450</v>
      </c>
      <c r="E8" s="8" t="s">
        <v>451</v>
      </c>
      <c r="F8" s="16" t="s">
        <v>326</v>
      </c>
      <c r="G8" s="8" t="s">
        <v>452</v>
      </c>
      <c r="H8" s="8" t="s">
        <v>446</v>
      </c>
      <c r="I8" s="16" t="s">
        <v>453</v>
      </c>
      <c r="J8" s="8" t="s">
        <v>441</v>
      </c>
    </row>
    <row r="9" spans="1:10" ht="39.75" customHeight="1" x14ac:dyDescent="0.45">
      <c r="A9" s="8" t="s">
        <v>159</v>
      </c>
      <c r="B9" s="8">
        <v>124.45</v>
      </c>
      <c r="C9" s="8" t="s">
        <v>454</v>
      </c>
      <c r="D9" s="8" t="s">
        <v>436</v>
      </c>
      <c r="E9" s="8" t="s">
        <v>455</v>
      </c>
      <c r="F9" s="16" t="s">
        <v>333</v>
      </c>
      <c r="G9" s="16" t="s">
        <v>456</v>
      </c>
      <c r="H9" s="8" t="s">
        <v>457</v>
      </c>
      <c r="I9" s="16" t="s">
        <v>440</v>
      </c>
      <c r="J9" s="8" t="s">
        <v>458</v>
      </c>
    </row>
    <row r="10" spans="1:10" ht="39.75" customHeight="1" x14ac:dyDescent="0.45">
      <c r="A10" s="8" t="s">
        <v>167</v>
      </c>
      <c r="B10" s="8">
        <v>160.30000000000001</v>
      </c>
      <c r="C10" s="8" t="s">
        <v>459</v>
      </c>
      <c r="D10" s="8" t="s">
        <v>460</v>
      </c>
      <c r="E10" s="8" t="s">
        <v>461</v>
      </c>
      <c r="F10" s="16" t="s">
        <v>303</v>
      </c>
      <c r="G10" s="16" t="s">
        <v>438</v>
      </c>
      <c r="H10" s="8" t="s">
        <v>457</v>
      </c>
      <c r="I10" s="16" t="s">
        <v>440</v>
      </c>
      <c r="J10" s="8" t="s">
        <v>441</v>
      </c>
    </row>
    <row r="11" spans="1:10" ht="39.75" customHeight="1" x14ac:dyDescent="0.45">
      <c r="A11" s="8" t="s">
        <v>174</v>
      </c>
      <c r="B11" s="8">
        <v>199.5</v>
      </c>
      <c r="C11" s="8" t="s">
        <v>462</v>
      </c>
      <c r="D11" s="8" t="s">
        <v>463</v>
      </c>
      <c r="E11" s="8" t="s">
        <v>464</v>
      </c>
      <c r="F11" s="8" t="s">
        <v>342</v>
      </c>
      <c r="G11" s="16" t="s">
        <v>465</v>
      </c>
      <c r="H11" s="8" t="s">
        <v>457</v>
      </c>
      <c r="I11" s="16" t="s">
        <v>453</v>
      </c>
      <c r="J11" s="8" t="s">
        <v>441</v>
      </c>
    </row>
    <row r="12" spans="1:10" ht="39.75" customHeight="1" x14ac:dyDescent="0.45">
      <c r="A12" s="8" t="s">
        <v>182</v>
      </c>
      <c r="B12" s="8">
        <v>349.13</v>
      </c>
      <c r="C12" s="8" t="s">
        <v>466</v>
      </c>
      <c r="D12" s="8" t="s">
        <v>467</v>
      </c>
      <c r="E12" s="8" t="s">
        <v>468</v>
      </c>
      <c r="F12" s="16" t="s">
        <v>346</v>
      </c>
      <c r="G12" s="16" t="s">
        <v>465</v>
      </c>
      <c r="H12" s="8" t="s">
        <v>457</v>
      </c>
      <c r="I12" s="16" t="s">
        <v>453</v>
      </c>
      <c r="J12" s="8" t="s">
        <v>441</v>
      </c>
    </row>
    <row r="13" spans="1:10" ht="39.75" customHeight="1" x14ac:dyDescent="0.45">
      <c r="A13" s="8" t="s">
        <v>190</v>
      </c>
      <c r="B13" s="8">
        <v>199.5</v>
      </c>
      <c r="C13" s="8" t="s">
        <v>469</v>
      </c>
      <c r="D13" s="8" t="s">
        <v>463</v>
      </c>
      <c r="E13" s="8" t="s">
        <v>470</v>
      </c>
      <c r="F13" s="8" t="s">
        <v>342</v>
      </c>
      <c r="G13" s="8" t="s">
        <v>452</v>
      </c>
      <c r="H13" s="8" t="s">
        <v>471</v>
      </c>
      <c r="I13" s="16" t="s">
        <v>453</v>
      </c>
      <c r="J13" s="8" t="s">
        <v>472</v>
      </c>
    </row>
    <row r="14" spans="1:10" ht="39.75" customHeight="1" x14ac:dyDescent="0.45">
      <c r="A14" s="8" t="s">
        <v>198</v>
      </c>
      <c r="B14" s="8">
        <v>124.38</v>
      </c>
      <c r="C14" s="20" t="s">
        <v>359</v>
      </c>
      <c r="D14" s="8" t="s">
        <v>473</v>
      </c>
      <c r="E14" s="8" t="s">
        <v>474</v>
      </c>
      <c r="F14" s="16" t="s">
        <v>333</v>
      </c>
      <c r="G14" s="16" t="s">
        <v>438</v>
      </c>
      <c r="H14" s="8" t="s">
        <v>475</v>
      </c>
      <c r="I14" s="16" t="s">
        <v>440</v>
      </c>
      <c r="J14" s="8" t="s">
        <v>441</v>
      </c>
    </row>
    <row r="15" spans="1:10" ht="39.75" customHeight="1" x14ac:dyDescent="0.45">
      <c r="A15" s="8" t="s">
        <v>205</v>
      </c>
      <c r="B15" s="8">
        <v>149.5</v>
      </c>
      <c r="C15" s="8" t="s">
        <v>476</v>
      </c>
      <c r="D15" s="8" t="s">
        <v>477</v>
      </c>
      <c r="E15" s="8" t="s">
        <v>478</v>
      </c>
      <c r="F15" s="16" t="s">
        <v>363</v>
      </c>
      <c r="G15" s="16" t="s">
        <v>438</v>
      </c>
      <c r="H15" s="8" t="s">
        <v>475</v>
      </c>
      <c r="I15" s="16" t="s">
        <v>440</v>
      </c>
      <c r="J15" s="8" t="s">
        <v>479</v>
      </c>
    </row>
    <row r="16" spans="1:10" ht="39.75" customHeight="1" x14ac:dyDescent="0.45">
      <c r="A16" s="8" t="s">
        <v>213</v>
      </c>
      <c r="B16" s="8">
        <v>178.61</v>
      </c>
      <c r="C16" s="20" t="s">
        <v>359</v>
      </c>
      <c r="D16" s="8" t="s">
        <v>480</v>
      </c>
      <c r="E16" s="8" t="s">
        <v>481</v>
      </c>
      <c r="F16" s="16" t="s">
        <v>333</v>
      </c>
      <c r="G16" s="16" t="s">
        <v>438</v>
      </c>
      <c r="H16" s="8" t="s">
        <v>475</v>
      </c>
      <c r="I16" s="16" t="s">
        <v>482</v>
      </c>
      <c r="J16" s="8" t="s">
        <v>441</v>
      </c>
    </row>
    <row r="17" spans="1:10" ht="39.75" customHeight="1" x14ac:dyDescent="0.45">
      <c r="A17" s="8" t="s">
        <v>221</v>
      </c>
      <c r="B17" s="8">
        <v>220</v>
      </c>
      <c r="C17" s="20" t="s">
        <v>359</v>
      </c>
      <c r="D17" s="8" t="s">
        <v>483</v>
      </c>
      <c r="E17" s="8" t="s">
        <v>484</v>
      </c>
      <c r="F17" s="16" t="s">
        <v>333</v>
      </c>
      <c r="G17" s="16" t="s">
        <v>438</v>
      </c>
      <c r="H17" s="8" t="s">
        <v>475</v>
      </c>
      <c r="I17" s="16" t="s">
        <v>482</v>
      </c>
      <c r="J17" s="8" t="s">
        <v>441</v>
      </c>
    </row>
    <row r="18" spans="1:10" ht="39.75" customHeight="1" x14ac:dyDescent="0.45">
      <c r="A18" s="8" t="s">
        <v>230</v>
      </c>
      <c r="B18" s="8">
        <v>248.77</v>
      </c>
      <c r="C18" s="8" t="s">
        <v>485</v>
      </c>
      <c r="D18" s="8" t="s">
        <v>486</v>
      </c>
      <c r="E18" s="8" t="s">
        <v>487</v>
      </c>
      <c r="F18" s="8" t="s">
        <v>379</v>
      </c>
      <c r="G18" s="16" t="s">
        <v>488</v>
      </c>
      <c r="H18" s="8" t="s">
        <v>471</v>
      </c>
      <c r="I18" s="16" t="s">
        <v>482</v>
      </c>
      <c r="J18" s="8" t="s">
        <v>448</v>
      </c>
    </row>
    <row r="19" spans="1:10" ht="39.75" customHeight="1" x14ac:dyDescent="0.45">
      <c r="A19" s="8" t="s">
        <v>238</v>
      </c>
      <c r="B19" s="8">
        <v>349.13</v>
      </c>
      <c r="C19" s="8" t="s">
        <v>489</v>
      </c>
      <c r="D19" s="8" t="s">
        <v>467</v>
      </c>
      <c r="E19" s="8" t="s">
        <v>468</v>
      </c>
      <c r="F19" s="8" t="s">
        <v>379</v>
      </c>
      <c r="G19" s="16" t="s">
        <v>488</v>
      </c>
      <c r="H19" s="8" t="s">
        <v>471</v>
      </c>
      <c r="I19" s="16" t="s">
        <v>482</v>
      </c>
      <c r="J19" s="8" t="s">
        <v>490</v>
      </c>
    </row>
    <row r="20" spans="1:10" ht="39.75" customHeight="1" x14ac:dyDescent="0.45">
      <c r="A20" s="8" t="s">
        <v>247</v>
      </c>
      <c r="B20" s="8">
        <v>220</v>
      </c>
      <c r="C20" s="8" t="s">
        <v>491</v>
      </c>
      <c r="D20" s="8" t="s">
        <v>492</v>
      </c>
      <c r="E20" s="8" t="s">
        <v>493</v>
      </c>
      <c r="F20" s="16" t="s">
        <v>333</v>
      </c>
      <c r="G20" s="16" t="s">
        <v>438</v>
      </c>
      <c r="H20" s="8" t="s">
        <v>471</v>
      </c>
      <c r="I20" s="16" t="s">
        <v>482</v>
      </c>
      <c r="J20" s="8" t="s">
        <v>441</v>
      </c>
    </row>
    <row r="21" spans="1:10" ht="39.75" customHeight="1" x14ac:dyDescent="0.45">
      <c r="A21" s="8" t="s">
        <v>255</v>
      </c>
      <c r="B21" s="8">
        <v>220</v>
      </c>
      <c r="C21" s="8" t="s">
        <v>494</v>
      </c>
      <c r="D21" s="8" t="s">
        <v>492</v>
      </c>
      <c r="E21" s="8" t="s">
        <v>493</v>
      </c>
      <c r="F21" s="16" t="s">
        <v>333</v>
      </c>
      <c r="G21" s="20" t="s">
        <v>359</v>
      </c>
      <c r="H21" s="8" t="s">
        <v>471</v>
      </c>
      <c r="I21" s="16" t="s">
        <v>482</v>
      </c>
      <c r="J21" s="8" t="s">
        <v>441</v>
      </c>
    </row>
    <row r="22" spans="1:10" ht="39.75" customHeight="1" x14ac:dyDescent="0.45">
      <c r="A22" s="8" t="s">
        <v>263</v>
      </c>
      <c r="B22" s="8">
        <v>99.59</v>
      </c>
      <c r="C22" s="8" t="s">
        <v>495</v>
      </c>
      <c r="D22" s="8" t="s">
        <v>496</v>
      </c>
      <c r="E22" s="20" t="s">
        <v>359</v>
      </c>
      <c r="F22" s="16" t="s">
        <v>395</v>
      </c>
      <c r="G22" s="16" t="s">
        <v>438</v>
      </c>
      <c r="H22" s="8" t="s">
        <v>497</v>
      </c>
      <c r="I22" s="8" t="s">
        <v>498</v>
      </c>
      <c r="J22" s="8" t="s">
        <v>499</v>
      </c>
    </row>
    <row r="23" spans="1:10" ht="39.75" customHeight="1" x14ac:dyDescent="0.45">
      <c r="A23" s="8" t="s">
        <v>271</v>
      </c>
      <c r="B23" s="8">
        <v>115.06</v>
      </c>
      <c r="C23" s="8" t="s">
        <v>500</v>
      </c>
      <c r="D23" s="8" t="s">
        <v>501</v>
      </c>
      <c r="E23" s="8" t="s">
        <v>502</v>
      </c>
      <c r="F23" s="8" t="s">
        <v>401</v>
      </c>
      <c r="G23" s="20" t="s">
        <v>359</v>
      </c>
      <c r="H23" s="8" t="s">
        <v>497</v>
      </c>
      <c r="I23" s="8" t="s">
        <v>498</v>
      </c>
      <c r="J23" s="8" t="s">
        <v>441</v>
      </c>
    </row>
    <row r="24" spans="1:10" ht="39.75" customHeight="1" x14ac:dyDescent="0.45">
      <c r="A24" s="8" t="s">
        <v>280</v>
      </c>
      <c r="B24" s="8">
        <v>115.45</v>
      </c>
      <c r="C24" s="8" t="s">
        <v>500</v>
      </c>
      <c r="D24" s="8" t="s">
        <v>501</v>
      </c>
      <c r="E24" s="8" t="s">
        <v>502</v>
      </c>
      <c r="F24" s="16" t="s">
        <v>395</v>
      </c>
      <c r="G24" s="16" t="s">
        <v>438</v>
      </c>
      <c r="H24" s="8" t="s">
        <v>497</v>
      </c>
      <c r="I24" s="8" t="s">
        <v>498</v>
      </c>
      <c r="J24" s="8" t="s">
        <v>441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I1"/>
    </sheetView>
  </sheetViews>
  <sheetFormatPr defaultColWidth="8.6640625" defaultRowHeight="14.25" x14ac:dyDescent="0.45"/>
  <cols>
    <col min="1" max="1" width="20" customWidth="1"/>
    <col min="2" max="4" width="14" customWidth="1"/>
    <col min="5" max="5" width="16" customWidth="1"/>
    <col min="6" max="6" width="18" customWidth="1"/>
    <col min="7" max="7" width="16" customWidth="1"/>
    <col min="8" max="8" width="34" customWidth="1"/>
    <col min="9" max="9" width="12" customWidth="1"/>
  </cols>
  <sheetData>
    <row r="1" spans="1:9" ht="25.5" customHeight="1" x14ac:dyDescent="0.45">
      <c r="A1" s="4" t="s">
        <v>503</v>
      </c>
      <c r="B1" s="4"/>
      <c r="C1" s="4"/>
      <c r="D1" s="4"/>
      <c r="E1" s="4"/>
      <c r="F1" s="4"/>
      <c r="G1" s="4"/>
      <c r="H1" s="4"/>
      <c r="I1" s="4"/>
    </row>
    <row r="2" spans="1:9" ht="15.75" customHeight="1" x14ac:dyDescent="0.45">
      <c r="A2" s="3" t="s">
        <v>504</v>
      </c>
      <c r="B2" s="3"/>
      <c r="C2" s="3"/>
      <c r="D2" s="3"/>
      <c r="E2" s="3"/>
      <c r="F2" s="3"/>
      <c r="G2" s="3"/>
      <c r="H2" s="3"/>
      <c r="I2" s="3"/>
    </row>
    <row r="4" spans="1:9" ht="27.75" x14ac:dyDescent="0.45">
      <c r="A4" s="14" t="s">
        <v>109</v>
      </c>
      <c r="B4" s="14" t="s">
        <v>505</v>
      </c>
      <c r="C4" s="14" t="s">
        <v>506</v>
      </c>
      <c r="D4" s="14" t="s">
        <v>507</v>
      </c>
      <c r="E4" s="14" t="s">
        <v>508</v>
      </c>
      <c r="F4" s="14" t="s">
        <v>509</v>
      </c>
      <c r="G4" s="14" t="s">
        <v>510</v>
      </c>
      <c r="H4" s="14" t="s">
        <v>511</v>
      </c>
      <c r="I4" s="14" t="s">
        <v>512</v>
      </c>
    </row>
    <row r="5" spans="1:9" ht="30" customHeight="1" x14ac:dyDescent="0.45">
      <c r="A5" s="8" t="s">
        <v>123</v>
      </c>
      <c r="B5" s="20" t="s">
        <v>359</v>
      </c>
      <c r="C5" s="20" t="s">
        <v>359</v>
      </c>
      <c r="D5" s="20" t="s">
        <v>359</v>
      </c>
      <c r="E5" s="16" t="s">
        <v>513</v>
      </c>
      <c r="F5" s="16" t="s">
        <v>514</v>
      </c>
      <c r="G5" s="16" t="s">
        <v>515</v>
      </c>
      <c r="H5" s="16" t="s">
        <v>516</v>
      </c>
      <c r="I5" s="8" t="s">
        <v>432</v>
      </c>
    </row>
    <row r="6" spans="1:9" ht="30" customHeight="1" x14ac:dyDescent="0.45">
      <c r="A6" s="8" t="s">
        <v>135</v>
      </c>
      <c r="B6" s="20" t="s">
        <v>359</v>
      </c>
      <c r="C6" s="20" t="s">
        <v>359</v>
      </c>
      <c r="D6" s="20" t="s">
        <v>359</v>
      </c>
      <c r="E6" s="8" t="s">
        <v>517</v>
      </c>
      <c r="F6" s="8" t="s">
        <v>518</v>
      </c>
      <c r="G6" s="16" t="s">
        <v>519</v>
      </c>
      <c r="H6" s="8" t="s">
        <v>520</v>
      </c>
      <c r="I6" s="8" t="s">
        <v>439</v>
      </c>
    </row>
    <row r="7" spans="1:9" ht="30" customHeight="1" x14ac:dyDescent="0.45">
      <c r="A7" s="8" t="s">
        <v>143</v>
      </c>
      <c r="B7" s="16" t="s">
        <v>521</v>
      </c>
      <c r="C7" s="16" t="s">
        <v>522</v>
      </c>
      <c r="D7" s="16" t="s">
        <v>523</v>
      </c>
      <c r="E7" s="8" t="s">
        <v>524</v>
      </c>
      <c r="F7" s="16" t="s">
        <v>525</v>
      </c>
      <c r="G7" s="8" t="s">
        <v>526</v>
      </c>
      <c r="H7" s="16" t="s">
        <v>527</v>
      </c>
      <c r="I7" s="8" t="s">
        <v>446</v>
      </c>
    </row>
    <row r="8" spans="1:9" ht="30" customHeight="1" x14ac:dyDescent="0.45">
      <c r="A8" s="8" t="s">
        <v>151</v>
      </c>
      <c r="B8" s="16" t="s">
        <v>521</v>
      </c>
      <c r="C8" s="16" t="s">
        <v>522</v>
      </c>
      <c r="D8" s="16" t="s">
        <v>523</v>
      </c>
      <c r="E8" s="16" t="s">
        <v>528</v>
      </c>
      <c r="F8" s="16" t="s">
        <v>525</v>
      </c>
      <c r="G8" s="16" t="s">
        <v>529</v>
      </c>
      <c r="H8" s="16" t="s">
        <v>530</v>
      </c>
      <c r="I8" s="8" t="s">
        <v>446</v>
      </c>
    </row>
    <row r="9" spans="1:9" ht="30" customHeight="1" x14ac:dyDescent="0.45">
      <c r="A9" s="8" t="s">
        <v>159</v>
      </c>
      <c r="B9" s="16" t="s">
        <v>531</v>
      </c>
      <c r="C9" s="16" t="s">
        <v>532</v>
      </c>
      <c r="D9" s="16" t="s">
        <v>533</v>
      </c>
      <c r="E9" s="16" t="s">
        <v>534</v>
      </c>
      <c r="F9" s="16" t="s">
        <v>535</v>
      </c>
      <c r="G9" s="16" t="s">
        <v>536</v>
      </c>
      <c r="H9" s="16" t="s">
        <v>537</v>
      </c>
      <c r="I9" s="8" t="s">
        <v>457</v>
      </c>
    </row>
    <row r="10" spans="1:9" ht="30" customHeight="1" x14ac:dyDescent="0.45">
      <c r="A10" s="8" t="s">
        <v>167</v>
      </c>
      <c r="B10" s="16" t="s">
        <v>538</v>
      </c>
      <c r="C10" s="16" t="s">
        <v>539</v>
      </c>
      <c r="D10" s="16" t="s">
        <v>540</v>
      </c>
      <c r="E10" s="16" t="s">
        <v>541</v>
      </c>
      <c r="F10" s="16" t="s">
        <v>542</v>
      </c>
      <c r="G10" s="16" t="s">
        <v>536</v>
      </c>
      <c r="H10" s="16" t="s">
        <v>543</v>
      </c>
      <c r="I10" s="8" t="s">
        <v>457</v>
      </c>
    </row>
    <row r="11" spans="1:9" ht="30" customHeight="1" x14ac:dyDescent="0.45">
      <c r="A11" s="8" t="s">
        <v>174</v>
      </c>
      <c r="B11" s="16" t="s">
        <v>538</v>
      </c>
      <c r="C11" s="16" t="s">
        <v>539</v>
      </c>
      <c r="D11" s="16" t="s">
        <v>544</v>
      </c>
      <c r="E11" s="16" t="s">
        <v>545</v>
      </c>
      <c r="F11" s="16" t="s">
        <v>546</v>
      </c>
      <c r="G11" s="16" t="s">
        <v>536</v>
      </c>
      <c r="H11" s="16" t="s">
        <v>547</v>
      </c>
      <c r="I11" s="8" t="s">
        <v>457</v>
      </c>
    </row>
    <row r="12" spans="1:9" ht="30" customHeight="1" x14ac:dyDescent="0.45">
      <c r="A12" s="8" t="s">
        <v>182</v>
      </c>
      <c r="B12" s="16" t="s">
        <v>548</v>
      </c>
      <c r="C12" s="16" t="s">
        <v>549</v>
      </c>
      <c r="D12" s="16" t="s">
        <v>550</v>
      </c>
      <c r="E12" s="16" t="s">
        <v>551</v>
      </c>
      <c r="F12" s="16" t="s">
        <v>546</v>
      </c>
      <c r="G12" s="16" t="s">
        <v>536</v>
      </c>
      <c r="H12" s="16" t="s">
        <v>552</v>
      </c>
      <c r="I12" s="8" t="s">
        <v>457</v>
      </c>
    </row>
    <row r="13" spans="1:9" ht="30" customHeight="1" x14ac:dyDescent="0.45">
      <c r="A13" s="8" t="s">
        <v>190</v>
      </c>
      <c r="B13" s="16" t="s">
        <v>553</v>
      </c>
      <c r="C13" s="16" t="s">
        <v>554</v>
      </c>
      <c r="D13" s="16" t="s">
        <v>555</v>
      </c>
      <c r="E13" s="16" t="s">
        <v>556</v>
      </c>
      <c r="F13" s="16" t="s">
        <v>557</v>
      </c>
      <c r="G13" s="16" t="s">
        <v>532</v>
      </c>
      <c r="H13" s="16" t="s">
        <v>558</v>
      </c>
      <c r="I13" s="8" t="s">
        <v>471</v>
      </c>
    </row>
    <row r="14" spans="1:9" ht="30" customHeight="1" x14ac:dyDescent="0.45">
      <c r="A14" s="8" t="s">
        <v>198</v>
      </c>
      <c r="B14" s="16" t="s">
        <v>559</v>
      </c>
      <c r="C14" s="16" t="s">
        <v>560</v>
      </c>
      <c r="D14" s="16" t="s">
        <v>540</v>
      </c>
      <c r="E14" s="16" t="s">
        <v>561</v>
      </c>
      <c r="F14" s="16" t="s">
        <v>562</v>
      </c>
      <c r="G14" s="16" t="s">
        <v>519</v>
      </c>
      <c r="H14" s="16" t="s">
        <v>563</v>
      </c>
      <c r="I14" s="8" t="s">
        <v>475</v>
      </c>
    </row>
    <row r="15" spans="1:9" ht="30" customHeight="1" x14ac:dyDescent="0.45">
      <c r="A15" s="8" t="s">
        <v>205</v>
      </c>
      <c r="B15" s="16" t="s">
        <v>559</v>
      </c>
      <c r="C15" s="16" t="s">
        <v>554</v>
      </c>
      <c r="D15" s="16" t="s">
        <v>540</v>
      </c>
      <c r="E15" s="8" t="s">
        <v>564</v>
      </c>
      <c r="F15" s="16" t="s">
        <v>525</v>
      </c>
      <c r="G15" s="16" t="s">
        <v>565</v>
      </c>
      <c r="H15" s="16" t="s">
        <v>566</v>
      </c>
      <c r="I15" s="8" t="s">
        <v>475</v>
      </c>
    </row>
    <row r="16" spans="1:9" ht="30" customHeight="1" x14ac:dyDescent="0.45">
      <c r="A16" s="8" t="s">
        <v>213</v>
      </c>
      <c r="B16" s="16" t="s">
        <v>567</v>
      </c>
      <c r="C16" s="16" t="s">
        <v>554</v>
      </c>
      <c r="D16" s="16" t="s">
        <v>568</v>
      </c>
      <c r="E16" s="8" t="s">
        <v>569</v>
      </c>
      <c r="F16" s="16" t="s">
        <v>525</v>
      </c>
      <c r="G16" s="16" t="s">
        <v>570</v>
      </c>
      <c r="H16" s="16" t="s">
        <v>571</v>
      </c>
      <c r="I16" s="8" t="s">
        <v>475</v>
      </c>
    </row>
    <row r="17" spans="1:9" ht="30" customHeight="1" x14ac:dyDescent="0.45">
      <c r="A17" s="8" t="s">
        <v>221</v>
      </c>
      <c r="B17" s="16" t="s">
        <v>567</v>
      </c>
      <c r="C17" s="16" t="s">
        <v>572</v>
      </c>
      <c r="D17" s="16" t="s">
        <v>573</v>
      </c>
      <c r="E17" s="16" t="s">
        <v>574</v>
      </c>
      <c r="F17" s="16" t="s">
        <v>525</v>
      </c>
      <c r="G17" s="16" t="s">
        <v>519</v>
      </c>
      <c r="H17" s="16" t="s">
        <v>575</v>
      </c>
      <c r="I17" s="8" t="s">
        <v>475</v>
      </c>
    </row>
    <row r="18" spans="1:9" ht="30" customHeight="1" x14ac:dyDescent="0.45">
      <c r="A18" s="8" t="s">
        <v>230</v>
      </c>
      <c r="B18" s="16" t="s">
        <v>576</v>
      </c>
      <c r="C18" s="16" t="s">
        <v>577</v>
      </c>
      <c r="D18" s="16" t="s">
        <v>578</v>
      </c>
      <c r="E18" s="16" t="s">
        <v>579</v>
      </c>
      <c r="F18" s="16" t="s">
        <v>557</v>
      </c>
      <c r="G18" s="16" t="s">
        <v>580</v>
      </c>
      <c r="H18" s="16" t="s">
        <v>581</v>
      </c>
      <c r="I18" s="8" t="s">
        <v>471</v>
      </c>
    </row>
    <row r="19" spans="1:9" ht="30" customHeight="1" x14ac:dyDescent="0.45">
      <c r="A19" s="8" t="s">
        <v>238</v>
      </c>
      <c r="B19" s="16" t="s">
        <v>576</v>
      </c>
      <c r="C19" s="16" t="s">
        <v>582</v>
      </c>
      <c r="D19" s="16" t="s">
        <v>583</v>
      </c>
      <c r="E19" s="16" t="s">
        <v>579</v>
      </c>
      <c r="F19" s="16" t="s">
        <v>557</v>
      </c>
      <c r="G19" s="16" t="s">
        <v>580</v>
      </c>
      <c r="H19" s="16" t="s">
        <v>584</v>
      </c>
      <c r="I19" s="8" t="s">
        <v>471</v>
      </c>
    </row>
    <row r="20" spans="1:9" ht="30" customHeight="1" x14ac:dyDescent="0.45">
      <c r="A20" s="8" t="s">
        <v>247</v>
      </c>
      <c r="B20" s="16" t="s">
        <v>585</v>
      </c>
      <c r="C20" s="16" t="s">
        <v>586</v>
      </c>
      <c r="D20" s="16" t="s">
        <v>587</v>
      </c>
      <c r="E20" s="16" t="s">
        <v>588</v>
      </c>
      <c r="F20" s="16" t="s">
        <v>589</v>
      </c>
      <c r="G20" s="16" t="s">
        <v>590</v>
      </c>
      <c r="H20" s="16" t="s">
        <v>591</v>
      </c>
      <c r="I20" s="8" t="s">
        <v>471</v>
      </c>
    </row>
    <row r="21" spans="1:9" ht="30" customHeight="1" x14ac:dyDescent="0.45">
      <c r="A21" s="8" t="s">
        <v>255</v>
      </c>
      <c r="B21" s="16" t="s">
        <v>585</v>
      </c>
      <c r="C21" s="16" t="s">
        <v>586</v>
      </c>
      <c r="D21" s="16" t="s">
        <v>592</v>
      </c>
      <c r="E21" s="16" t="s">
        <v>588</v>
      </c>
      <c r="F21" s="16" t="s">
        <v>589</v>
      </c>
      <c r="G21" s="16" t="s">
        <v>590</v>
      </c>
      <c r="H21" s="16" t="s">
        <v>591</v>
      </c>
      <c r="I21" s="8" t="s">
        <v>471</v>
      </c>
    </row>
    <row r="22" spans="1:9" ht="30" customHeight="1" x14ac:dyDescent="0.45">
      <c r="A22" s="8" t="s">
        <v>263</v>
      </c>
      <c r="B22" s="16" t="s">
        <v>593</v>
      </c>
      <c r="C22" s="16" t="s">
        <v>594</v>
      </c>
      <c r="D22" s="16" t="s">
        <v>595</v>
      </c>
      <c r="E22" s="16" t="s">
        <v>596</v>
      </c>
      <c r="F22" s="16" t="s">
        <v>597</v>
      </c>
      <c r="G22" s="16" t="s">
        <v>598</v>
      </c>
      <c r="H22" s="16" t="s">
        <v>599</v>
      </c>
      <c r="I22" s="8" t="s">
        <v>497</v>
      </c>
    </row>
    <row r="23" spans="1:9" ht="30" customHeight="1" x14ac:dyDescent="0.45">
      <c r="A23" s="8" t="s">
        <v>271</v>
      </c>
      <c r="B23" s="16" t="s">
        <v>600</v>
      </c>
      <c r="C23" s="16" t="s">
        <v>601</v>
      </c>
      <c r="D23" s="16" t="s">
        <v>602</v>
      </c>
      <c r="E23" s="16" t="s">
        <v>596</v>
      </c>
      <c r="F23" s="16" t="s">
        <v>597</v>
      </c>
      <c r="G23" s="16" t="s">
        <v>598</v>
      </c>
      <c r="H23" s="16" t="s">
        <v>603</v>
      </c>
      <c r="I23" s="8" t="s">
        <v>497</v>
      </c>
    </row>
    <row r="24" spans="1:9" ht="30" customHeight="1" x14ac:dyDescent="0.45">
      <c r="A24" s="8" t="s">
        <v>280</v>
      </c>
      <c r="B24" s="16" t="s">
        <v>604</v>
      </c>
      <c r="C24" s="16" t="s">
        <v>605</v>
      </c>
      <c r="D24" s="16" t="s">
        <v>606</v>
      </c>
      <c r="E24" s="16" t="s">
        <v>607</v>
      </c>
      <c r="F24" s="16" t="s">
        <v>514</v>
      </c>
      <c r="G24" s="16" t="s">
        <v>532</v>
      </c>
      <c r="H24" s="16" t="s">
        <v>608</v>
      </c>
      <c r="I24" s="8" t="s">
        <v>497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1" sqref="E21"/>
    </sheetView>
  </sheetViews>
  <sheetFormatPr defaultColWidth="8.6640625" defaultRowHeight="14.25" x14ac:dyDescent="0.45"/>
  <cols>
    <col min="1" max="3" width="20" customWidth="1"/>
    <col min="4" max="4" width="30" customWidth="1"/>
    <col min="5" max="5" width="20" customWidth="1"/>
    <col min="6" max="6" width="26" customWidth="1"/>
    <col min="7" max="7" width="30" customWidth="1"/>
    <col min="8" max="8" width="16" customWidth="1"/>
    <col min="9" max="9" width="20" customWidth="1"/>
    <col min="10" max="10" width="16" customWidth="1"/>
  </cols>
  <sheetData>
    <row r="1" spans="1:10" ht="25.5" customHeight="1" x14ac:dyDescent="0.45">
      <c r="A1" s="4" t="s">
        <v>609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 customHeight="1" x14ac:dyDescent="0.45">
      <c r="A2" s="3" t="s">
        <v>610</v>
      </c>
      <c r="B2" s="3"/>
      <c r="C2" s="3"/>
      <c r="D2" s="3"/>
      <c r="E2" s="3"/>
      <c r="F2" s="3"/>
      <c r="G2" s="3"/>
      <c r="H2" s="3"/>
      <c r="I2" s="3"/>
      <c r="J2" s="3"/>
    </row>
    <row r="4" spans="1:10" x14ac:dyDescent="0.45">
      <c r="A4" s="14" t="s">
        <v>109</v>
      </c>
      <c r="B4" s="14" t="s">
        <v>295</v>
      </c>
      <c r="C4" s="14" t="s">
        <v>296</v>
      </c>
      <c r="D4" s="14" t="s">
        <v>297</v>
      </c>
      <c r="E4" s="14" t="s">
        <v>611</v>
      </c>
      <c r="F4" s="14" t="s">
        <v>612</v>
      </c>
      <c r="G4" s="14" t="s">
        <v>613</v>
      </c>
      <c r="H4" s="14" t="s">
        <v>614</v>
      </c>
      <c r="I4" s="14" t="s">
        <v>615</v>
      </c>
      <c r="J4" s="14" t="s">
        <v>616</v>
      </c>
    </row>
    <row r="5" spans="1:10" ht="39.75" customHeight="1" x14ac:dyDescent="0.45">
      <c r="A5" s="8" t="s">
        <v>123</v>
      </c>
      <c r="B5" s="8" t="s">
        <v>304</v>
      </c>
      <c r="C5" s="8" t="s">
        <v>305</v>
      </c>
      <c r="D5" s="16" t="s">
        <v>306</v>
      </c>
      <c r="E5" s="8" t="s">
        <v>617</v>
      </c>
      <c r="F5" s="16" t="s">
        <v>618</v>
      </c>
      <c r="G5" s="8" t="s">
        <v>619</v>
      </c>
      <c r="H5" s="16" t="s">
        <v>620</v>
      </c>
      <c r="I5" s="8" t="s">
        <v>621</v>
      </c>
      <c r="J5" s="16" t="s">
        <v>622</v>
      </c>
    </row>
    <row r="6" spans="1:10" ht="39.75" customHeight="1" x14ac:dyDescent="0.45">
      <c r="A6" s="8" t="s">
        <v>135</v>
      </c>
      <c r="B6" s="8" t="s">
        <v>312</v>
      </c>
      <c r="C6" s="8" t="s">
        <v>313</v>
      </c>
      <c r="D6" s="16" t="s">
        <v>306</v>
      </c>
      <c r="E6" s="16" t="s">
        <v>623</v>
      </c>
      <c r="F6" s="8" t="s">
        <v>624</v>
      </c>
      <c r="G6" s="8" t="s">
        <v>625</v>
      </c>
      <c r="H6" s="8" t="s">
        <v>626</v>
      </c>
      <c r="I6" s="8" t="s">
        <v>627</v>
      </c>
      <c r="J6" s="16" t="s">
        <v>628</v>
      </c>
    </row>
    <row r="7" spans="1:10" ht="39.75" customHeight="1" x14ac:dyDescent="0.45">
      <c r="A7" s="8" t="s">
        <v>143</v>
      </c>
      <c r="B7" s="8" t="s">
        <v>319</v>
      </c>
      <c r="C7" s="8" t="s">
        <v>320</v>
      </c>
      <c r="D7" s="8" t="s">
        <v>321</v>
      </c>
      <c r="E7" s="16" t="s">
        <v>629</v>
      </c>
      <c r="F7" s="8" t="s">
        <v>630</v>
      </c>
      <c r="G7" s="8" t="s">
        <v>631</v>
      </c>
      <c r="H7" s="8" t="s">
        <v>632</v>
      </c>
      <c r="I7" s="8" t="s">
        <v>633</v>
      </c>
      <c r="J7" s="16" t="s">
        <v>634</v>
      </c>
    </row>
    <row r="8" spans="1:10" ht="39.75" customHeight="1" x14ac:dyDescent="0.45">
      <c r="A8" s="8" t="s">
        <v>151</v>
      </c>
      <c r="B8" s="8" t="s">
        <v>327</v>
      </c>
      <c r="C8" s="16" t="s">
        <v>328</v>
      </c>
      <c r="D8" s="8" t="s">
        <v>329</v>
      </c>
      <c r="E8" s="16" t="s">
        <v>629</v>
      </c>
      <c r="F8" s="8" t="s">
        <v>635</v>
      </c>
      <c r="G8" s="8" t="s">
        <v>636</v>
      </c>
      <c r="H8" s="16" t="s">
        <v>637</v>
      </c>
      <c r="I8" s="16" t="s">
        <v>638</v>
      </c>
      <c r="J8" s="16" t="s">
        <v>634</v>
      </c>
    </row>
    <row r="9" spans="1:10" ht="39.75" customHeight="1" x14ac:dyDescent="0.45">
      <c r="A9" s="8" t="s">
        <v>159</v>
      </c>
      <c r="B9" s="8" t="s">
        <v>327</v>
      </c>
      <c r="C9" s="16" t="s">
        <v>334</v>
      </c>
      <c r="D9" s="8" t="s">
        <v>335</v>
      </c>
      <c r="E9" s="8" t="s">
        <v>639</v>
      </c>
      <c r="F9" s="16" t="s">
        <v>640</v>
      </c>
      <c r="G9" s="8" t="s">
        <v>641</v>
      </c>
      <c r="H9" s="16" t="s">
        <v>642</v>
      </c>
      <c r="I9" s="16" t="s">
        <v>642</v>
      </c>
      <c r="J9" s="16" t="s">
        <v>643</v>
      </c>
    </row>
    <row r="10" spans="1:10" ht="39.75" customHeight="1" x14ac:dyDescent="0.45">
      <c r="A10" s="8" t="s">
        <v>167</v>
      </c>
      <c r="B10" s="8" t="s">
        <v>327</v>
      </c>
      <c r="C10" s="8" t="s">
        <v>327</v>
      </c>
      <c r="D10" s="8" t="s">
        <v>329</v>
      </c>
      <c r="E10" s="8" t="s">
        <v>639</v>
      </c>
      <c r="F10" s="8" t="s">
        <v>644</v>
      </c>
      <c r="G10" s="8" t="s">
        <v>645</v>
      </c>
      <c r="H10" s="16" t="s">
        <v>642</v>
      </c>
      <c r="I10" s="16" t="s">
        <v>642</v>
      </c>
      <c r="J10" s="16" t="s">
        <v>643</v>
      </c>
    </row>
    <row r="11" spans="1:10" ht="39.75" customHeight="1" x14ac:dyDescent="0.45">
      <c r="A11" s="8" t="s">
        <v>174</v>
      </c>
      <c r="B11" s="8" t="s">
        <v>327</v>
      </c>
      <c r="C11" s="8" t="s">
        <v>327</v>
      </c>
      <c r="D11" s="8" t="s">
        <v>329</v>
      </c>
      <c r="E11" s="8" t="s">
        <v>639</v>
      </c>
      <c r="F11" s="8" t="s">
        <v>644</v>
      </c>
      <c r="G11" s="16" t="s">
        <v>646</v>
      </c>
      <c r="H11" s="16" t="s">
        <v>647</v>
      </c>
      <c r="I11" s="20" t="s">
        <v>359</v>
      </c>
      <c r="J11" s="16" t="s">
        <v>648</v>
      </c>
    </row>
    <row r="12" spans="1:10" ht="39.75" customHeight="1" x14ac:dyDescent="0.45">
      <c r="A12" s="8" t="s">
        <v>182</v>
      </c>
      <c r="B12" s="8" t="s">
        <v>347</v>
      </c>
      <c r="C12" s="8" t="s">
        <v>348</v>
      </c>
      <c r="D12" s="8" t="s">
        <v>349</v>
      </c>
      <c r="E12" s="16" t="s">
        <v>649</v>
      </c>
      <c r="F12" s="8" t="s">
        <v>650</v>
      </c>
      <c r="G12" s="16" t="s">
        <v>651</v>
      </c>
      <c r="H12" s="8" t="s">
        <v>652</v>
      </c>
      <c r="I12" s="8" t="s">
        <v>653</v>
      </c>
      <c r="J12" s="20" t="s">
        <v>359</v>
      </c>
    </row>
    <row r="13" spans="1:10" ht="39.75" customHeight="1" x14ac:dyDescent="0.45">
      <c r="A13" s="8" t="s">
        <v>190</v>
      </c>
      <c r="B13" s="8" t="s">
        <v>353</v>
      </c>
      <c r="C13" s="8" t="s">
        <v>348</v>
      </c>
      <c r="D13" s="8" t="s">
        <v>329</v>
      </c>
      <c r="E13" s="8" t="s">
        <v>639</v>
      </c>
      <c r="F13" s="8" t="s">
        <v>654</v>
      </c>
      <c r="G13" s="8" t="s">
        <v>645</v>
      </c>
      <c r="H13" s="8" t="s">
        <v>632</v>
      </c>
      <c r="I13" s="8" t="s">
        <v>655</v>
      </c>
      <c r="J13" s="8" t="s">
        <v>656</v>
      </c>
    </row>
    <row r="14" spans="1:10" ht="39.75" customHeight="1" x14ac:dyDescent="0.45">
      <c r="A14" s="8" t="s">
        <v>198</v>
      </c>
      <c r="B14" s="16" t="s">
        <v>357</v>
      </c>
      <c r="C14" s="16" t="s">
        <v>358</v>
      </c>
      <c r="D14" s="20" t="s">
        <v>359</v>
      </c>
      <c r="E14" s="16" t="s">
        <v>657</v>
      </c>
      <c r="F14" s="16" t="s">
        <v>658</v>
      </c>
      <c r="G14" s="16" t="s">
        <v>659</v>
      </c>
      <c r="H14" s="16" t="s">
        <v>660</v>
      </c>
      <c r="I14" s="16" t="s">
        <v>661</v>
      </c>
      <c r="J14" s="16" t="s">
        <v>662</v>
      </c>
    </row>
    <row r="15" spans="1:10" ht="39.75" customHeight="1" x14ac:dyDescent="0.45">
      <c r="A15" s="8" t="s">
        <v>205</v>
      </c>
      <c r="B15" s="16" t="s">
        <v>364</v>
      </c>
      <c r="C15" s="16" t="s">
        <v>365</v>
      </c>
      <c r="D15" s="16" t="s">
        <v>366</v>
      </c>
      <c r="E15" s="16" t="s">
        <v>663</v>
      </c>
      <c r="F15" s="16" t="s">
        <v>664</v>
      </c>
      <c r="G15" s="16" t="s">
        <v>665</v>
      </c>
      <c r="H15" s="16" t="s">
        <v>660</v>
      </c>
      <c r="I15" s="16" t="s">
        <v>661</v>
      </c>
      <c r="J15" s="16" t="s">
        <v>634</v>
      </c>
    </row>
    <row r="16" spans="1:10" ht="39.75" customHeight="1" x14ac:dyDescent="0.45">
      <c r="A16" s="8" t="s">
        <v>213</v>
      </c>
      <c r="B16" s="16" t="s">
        <v>369</v>
      </c>
      <c r="C16" s="16" t="s">
        <v>370</v>
      </c>
      <c r="D16" s="16" t="s">
        <v>371</v>
      </c>
      <c r="E16" s="20" t="s">
        <v>359</v>
      </c>
      <c r="F16" s="16" t="s">
        <v>666</v>
      </c>
      <c r="G16" s="8" t="s">
        <v>667</v>
      </c>
      <c r="H16" s="16" t="s">
        <v>668</v>
      </c>
      <c r="I16" s="16" t="s">
        <v>669</v>
      </c>
      <c r="J16" s="16" t="s">
        <v>634</v>
      </c>
    </row>
    <row r="17" spans="1:10" ht="39.75" customHeight="1" x14ac:dyDescent="0.45">
      <c r="A17" s="8" t="s">
        <v>221</v>
      </c>
      <c r="B17" s="16" t="s">
        <v>369</v>
      </c>
      <c r="C17" s="16" t="s">
        <v>370</v>
      </c>
      <c r="D17" s="8" t="s">
        <v>375</v>
      </c>
      <c r="E17" s="16" t="s">
        <v>670</v>
      </c>
      <c r="F17" s="16" t="s">
        <v>671</v>
      </c>
      <c r="G17" s="8" t="s">
        <v>672</v>
      </c>
      <c r="H17" s="16" t="s">
        <v>668</v>
      </c>
      <c r="I17" s="16" t="s">
        <v>669</v>
      </c>
      <c r="J17" s="16" t="s">
        <v>634</v>
      </c>
    </row>
    <row r="18" spans="1:10" ht="39.75" customHeight="1" x14ac:dyDescent="0.45">
      <c r="A18" s="8" t="s">
        <v>230</v>
      </c>
      <c r="B18" s="8" t="s">
        <v>380</v>
      </c>
      <c r="C18" s="16" t="s">
        <v>381</v>
      </c>
      <c r="D18" s="8" t="s">
        <v>382</v>
      </c>
      <c r="E18" s="8" t="s">
        <v>673</v>
      </c>
      <c r="F18" s="16" t="s">
        <v>674</v>
      </c>
      <c r="G18" s="8" t="s">
        <v>675</v>
      </c>
      <c r="H18" s="16" t="s">
        <v>676</v>
      </c>
      <c r="I18" s="16" t="s">
        <v>677</v>
      </c>
      <c r="J18" s="16" t="s">
        <v>634</v>
      </c>
    </row>
    <row r="19" spans="1:10" ht="39.75" customHeight="1" x14ac:dyDescent="0.45">
      <c r="A19" s="8" t="s">
        <v>238</v>
      </c>
      <c r="B19" s="8" t="s">
        <v>384</v>
      </c>
      <c r="C19" s="16" t="s">
        <v>370</v>
      </c>
      <c r="D19" s="8" t="s">
        <v>385</v>
      </c>
      <c r="E19" s="8" t="s">
        <v>673</v>
      </c>
      <c r="F19" s="16" t="s">
        <v>678</v>
      </c>
      <c r="G19" s="8" t="s">
        <v>675</v>
      </c>
      <c r="H19" s="16" t="s">
        <v>679</v>
      </c>
      <c r="I19" s="16" t="s">
        <v>680</v>
      </c>
      <c r="J19" s="16" t="s">
        <v>634</v>
      </c>
    </row>
    <row r="20" spans="1:10" ht="39.75" customHeight="1" x14ac:dyDescent="0.45">
      <c r="A20" s="8" t="s">
        <v>247</v>
      </c>
      <c r="B20" s="8" t="s">
        <v>388</v>
      </c>
      <c r="C20" s="16" t="s">
        <v>358</v>
      </c>
      <c r="D20" s="8" t="s">
        <v>389</v>
      </c>
      <c r="E20" s="16" t="s">
        <v>681</v>
      </c>
      <c r="F20" s="16" t="s">
        <v>682</v>
      </c>
      <c r="G20" s="8" t="s">
        <v>683</v>
      </c>
      <c r="H20" s="16" t="s">
        <v>668</v>
      </c>
      <c r="I20" s="16" t="s">
        <v>684</v>
      </c>
      <c r="J20" s="16" t="s">
        <v>685</v>
      </c>
    </row>
    <row r="21" spans="1:10" ht="39.75" customHeight="1" x14ac:dyDescent="0.45">
      <c r="A21" s="8" t="s">
        <v>255</v>
      </c>
      <c r="B21" s="8" t="s">
        <v>388</v>
      </c>
      <c r="C21" s="16" t="s">
        <v>358</v>
      </c>
      <c r="D21" s="16" t="s">
        <v>392</v>
      </c>
      <c r="E21" s="20" t="s">
        <v>359</v>
      </c>
      <c r="F21" s="16" t="s">
        <v>682</v>
      </c>
      <c r="G21" s="8" t="s">
        <v>683</v>
      </c>
      <c r="H21" s="16" t="s">
        <v>668</v>
      </c>
      <c r="I21" s="16" t="s">
        <v>686</v>
      </c>
      <c r="J21" s="16" t="s">
        <v>687</v>
      </c>
    </row>
    <row r="22" spans="1:10" ht="39.75" customHeight="1" x14ac:dyDescent="0.45">
      <c r="A22" s="8" t="s">
        <v>263</v>
      </c>
      <c r="B22" s="16" t="s">
        <v>358</v>
      </c>
      <c r="C22" s="16" t="s">
        <v>396</v>
      </c>
      <c r="D22" s="16" t="s">
        <v>397</v>
      </c>
      <c r="E22" s="16" t="s">
        <v>688</v>
      </c>
      <c r="F22" s="16" t="s">
        <v>689</v>
      </c>
      <c r="G22" s="8" t="s">
        <v>690</v>
      </c>
      <c r="H22" s="16" t="s">
        <v>691</v>
      </c>
      <c r="I22" s="16" t="s">
        <v>692</v>
      </c>
      <c r="J22" s="16" t="s">
        <v>634</v>
      </c>
    </row>
    <row r="23" spans="1:10" ht="39.75" customHeight="1" x14ac:dyDescent="0.45">
      <c r="A23" s="8" t="s">
        <v>271</v>
      </c>
      <c r="B23" s="16" t="s">
        <v>358</v>
      </c>
      <c r="C23" s="16" t="s">
        <v>396</v>
      </c>
      <c r="D23" s="20" t="s">
        <v>359</v>
      </c>
      <c r="E23" s="16" t="s">
        <v>688</v>
      </c>
      <c r="F23" s="16" t="s">
        <v>689</v>
      </c>
      <c r="G23" s="8" t="s">
        <v>693</v>
      </c>
      <c r="H23" s="16" t="s">
        <v>660</v>
      </c>
      <c r="I23" s="16" t="s">
        <v>660</v>
      </c>
      <c r="J23" s="16" t="s">
        <v>634</v>
      </c>
    </row>
    <row r="24" spans="1:10" ht="39.75" customHeight="1" x14ac:dyDescent="0.45">
      <c r="A24" s="8" t="s">
        <v>280</v>
      </c>
      <c r="B24" s="16" t="s">
        <v>358</v>
      </c>
      <c r="C24" s="16" t="s">
        <v>396</v>
      </c>
      <c r="D24" s="20" t="s">
        <v>359</v>
      </c>
      <c r="E24" s="16" t="s">
        <v>694</v>
      </c>
      <c r="F24" s="16" t="s">
        <v>695</v>
      </c>
      <c r="G24" s="8" t="s">
        <v>696</v>
      </c>
      <c r="H24" s="16" t="s">
        <v>697</v>
      </c>
      <c r="I24" s="16" t="s">
        <v>698</v>
      </c>
      <c r="J24" s="16" t="s">
        <v>634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C1"/>
    </sheetView>
  </sheetViews>
  <sheetFormatPr defaultColWidth="8.6640625" defaultRowHeight="14.25" x14ac:dyDescent="0.45"/>
  <cols>
    <col min="1" max="1" width="20" customWidth="1"/>
    <col min="2" max="2" width="40" customWidth="1"/>
    <col min="3" max="3" width="60" customWidth="1"/>
  </cols>
  <sheetData>
    <row r="1" spans="1:3" ht="25.5" customHeight="1" x14ac:dyDescent="0.45">
      <c r="A1" s="4" t="s">
        <v>699</v>
      </c>
      <c r="B1" s="4"/>
      <c r="C1" s="4"/>
    </row>
    <row r="2" spans="1:3" ht="15.75" customHeight="1" x14ac:dyDescent="0.45">
      <c r="A2" s="3" t="s">
        <v>700</v>
      </c>
      <c r="B2" s="3"/>
      <c r="C2" s="3"/>
    </row>
    <row r="4" spans="1:3" x14ac:dyDescent="0.45">
      <c r="A4" s="14" t="s">
        <v>109</v>
      </c>
      <c r="B4" s="14" t="s">
        <v>701</v>
      </c>
      <c r="C4" s="14" t="s">
        <v>702</v>
      </c>
    </row>
    <row r="5" spans="1:3" ht="30" customHeight="1" x14ac:dyDescent="0.45">
      <c r="A5" s="8" t="s">
        <v>123</v>
      </c>
      <c r="B5" s="8" t="s">
        <v>703</v>
      </c>
      <c r="C5" s="8" t="s">
        <v>704</v>
      </c>
    </row>
    <row r="6" spans="1:3" ht="30" customHeight="1" x14ac:dyDescent="0.45">
      <c r="A6" s="8" t="s">
        <v>135</v>
      </c>
      <c r="B6" s="8" t="s">
        <v>705</v>
      </c>
      <c r="C6" s="8" t="s">
        <v>706</v>
      </c>
    </row>
    <row r="7" spans="1:3" ht="30" customHeight="1" x14ac:dyDescent="0.45">
      <c r="A7" s="8" t="s">
        <v>143</v>
      </c>
      <c r="B7" s="8" t="s">
        <v>707</v>
      </c>
      <c r="C7" s="8" t="s">
        <v>708</v>
      </c>
    </row>
    <row r="8" spans="1:3" ht="30" customHeight="1" x14ac:dyDescent="0.45">
      <c r="A8" s="8" t="s">
        <v>151</v>
      </c>
      <c r="B8" s="8" t="s">
        <v>709</v>
      </c>
      <c r="C8" s="8" t="s">
        <v>710</v>
      </c>
    </row>
    <row r="9" spans="1:3" ht="30" customHeight="1" x14ac:dyDescent="0.45">
      <c r="A9" s="8" t="s">
        <v>159</v>
      </c>
      <c r="B9" s="8" t="s">
        <v>711</v>
      </c>
      <c r="C9" s="8" t="s">
        <v>712</v>
      </c>
    </row>
    <row r="10" spans="1:3" ht="30" customHeight="1" x14ac:dyDescent="0.45">
      <c r="A10" s="8" t="s">
        <v>167</v>
      </c>
      <c r="B10" s="8" t="s">
        <v>713</v>
      </c>
      <c r="C10" s="8" t="s">
        <v>714</v>
      </c>
    </row>
    <row r="11" spans="1:3" ht="30" customHeight="1" x14ac:dyDescent="0.45">
      <c r="A11" s="8" t="s">
        <v>174</v>
      </c>
      <c r="B11" s="8" t="s">
        <v>713</v>
      </c>
      <c r="C11" s="8" t="s">
        <v>715</v>
      </c>
    </row>
    <row r="12" spans="1:3" ht="30" customHeight="1" x14ac:dyDescent="0.45">
      <c r="A12" s="8" t="s">
        <v>182</v>
      </c>
      <c r="B12" s="8" t="s">
        <v>716</v>
      </c>
      <c r="C12" s="8" t="s">
        <v>717</v>
      </c>
    </row>
    <row r="13" spans="1:3" ht="30" customHeight="1" x14ac:dyDescent="0.45">
      <c r="A13" s="8" t="s">
        <v>190</v>
      </c>
      <c r="B13" s="8" t="s">
        <v>718</v>
      </c>
      <c r="C13" s="8" t="s">
        <v>719</v>
      </c>
    </row>
    <row r="14" spans="1:3" ht="30" customHeight="1" x14ac:dyDescent="0.45">
      <c r="A14" s="8" t="s">
        <v>198</v>
      </c>
      <c r="B14" s="8" t="s">
        <v>720</v>
      </c>
      <c r="C14" s="16" t="s">
        <v>721</v>
      </c>
    </row>
    <row r="15" spans="1:3" ht="30" customHeight="1" x14ac:dyDescent="0.45">
      <c r="A15" s="8" t="s">
        <v>205</v>
      </c>
      <c r="B15" s="8" t="s">
        <v>722</v>
      </c>
      <c r="C15" s="8" t="s">
        <v>723</v>
      </c>
    </row>
    <row r="16" spans="1:3" ht="30" customHeight="1" x14ac:dyDescent="0.45">
      <c r="A16" s="8" t="s">
        <v>213</v>
      </c>
      <c r="B16" s="8" t="s">
        <v>724</v>
      </c>
      <c r="C16" s="8" t="s">
        <v>725</v>
      </c>
    </row>
    <row r="17" spans="1:3" ht="30" customHeight="1" x14ac:dyDescent="0.45">
      <c r="A17" s="8" t="s">
        <v>221</v>
      </c>
      <c r="B17" s="8" t="s">
        <v>726</v>
      </c>
      <c r="C17" s="8" t="s">
        <v>727</v>
      </c>
    </row>
    <row r="18" spans="1:3" ht="30" customHeight="1" x14ac:dyDescent="0.45">
      <c r="A18" s="8" t="s">
        <v>230</v>
      </c>
      <c r="B18" s="8" t="s">
        <v>728</v>
      </c>
      <c r="C18" s="8" t="s">
        <v>729</v>
      </c>
    </row>
    <row r="19" spans="1:3" ht="30" customHeight="1" x14ac:dyDescent="0.45">
      <c r="A19" s="8" t="s">
        <v>238</v>
      </c>
      <c r="B19" s="8" t="s">
        <v>728</v>
      </c>
      <c r="C19" s="8" t="s">
        <v>730</v>
      </c>
    </row>
    <row r="20" spans="1:3" ht="30" customHeight="1" x14ac:dyDescent="0.45">
      <c r="A20" s="8" t="s">
        <v>247</v>
      </c>
      <c r="B20" s="16" t="s">
        <v>731</v>
      </c>
      <c r="C20" s="16" t="s">
        <v>732</v>
      </c>
    </row>
    <row r="21" spans="1:3" ht="30" customHeight="1" x14ac:dyDescent="0.45">
      <c r="A21" s="8" t="s">
        <v>255</v>
      </c>
      <c r="B21" s="16" t="s">
        <v>733</v>
      </c>
      <c r="C21" s="16" t="s">
        <v>734</v>
      </c>
    </row>
    <row r="22" spans="1:3" ht="30" customHeight="1" x14ac:dyDescent="0.45">
      <c r="A22" s="8" t="s">
        <v>263</v>
      </c>
      <c r="B22" s="16" t="s">
        <v>735</v>
      </c>
      <c r="C22" s="16" t="s">
        <v>736</v>
      </c>
    </row>
    <row r="23" spans="1:3" ht="30" customHeight="1" x14ac:dyDescent="0.45">
      <c r="A23" s="8" t="s">
        <v>271</v>
      </c>
      <c r="B23" s="16" t="s">
        <v>737</v>
      </c>
      <c r="C23" s="16" t="s">
        <v>738</v>
      </c>
    </row>
    <row r="24" spans="1:3" ht="30" customHeight="1" x14ac:dyDescent="0.45">
      <c r="A24" s="8" t="s">
        <v>280</v>
      </c>
      <c r="B24" s="16" t="s">
        <v>739</v>
      </c>
      <c r="C24" s="16" t="s">
        <v>740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F1"/>
    </sheetView>
  </sheetViews>
  <sheetFormatPr defaultColWidth="8.6640625" defaultRowHeight="14.25" x14ac:dyDescent="0.45"/>
  <cols>
    <col min="1" max="1" width="20" customWidth="1"/>
    <col min="2" max="2" width="40" customWidth="1"/>
    <col min="3" max="3" width="16" customWidth="1"/>
    <col min="4" max="4" width="24" customWidth="1"/>
    <col min="5" max="5" width="34" customWidth="1"/>
    <col min="6" max="6" width="44" customWidth="1"/>
  </cols>
  <sheetData>
    <row r="1" spans="1:6" ht="25.5" customHeight="1" x14ac:dyDescent="0.45">
      <c r="A1" s="4" t="s">
        <v>741</v>
      </c>
      <c r="B1" s="4"/>
      <c r="C1" s="4"/>
      <c r="D1" s="4"/>
      <c r="E1" s="4"/>
      <c r="F1" s="4"/>
    </row>
    <row r="2" spans="1:6" ht="15.75" customHeight="1" x14ac:dyDescent="0.45">
      <c r="A2" s="3" t="s">
        <v>742</v>
      </c>
      <c r="B2" s="3"/>
      <c r="C2" s="3"/>
      <c r="D2" s="3"/>
      <c r="E2" s="3"/>
      <c r="F2" s="3"/>
    </row>
    <row r="4" spans="1:6" x14ac:dyDescent="0.45">
      <c r="A4" s="14" t="s">
        <v>109</v>
      </c>
      <c r="B4" s="14" t="s">
        <v>298</v>
      </c>
      <c r="C4" s="14" t="s">
        <v>743</v>
      </c>
      <c r="D4" s="14" t="s">
        <v>744</v>
      </c>
      <c r="E4" s="14" t="s">
        <v>745</v>
      </c>
      <c r="F4" s="14" t="s">
        <v>43</v>
      </c>
    </row>
    <row r="5" spans="1:6" ht="39.75" customHeight="1" x14ac:dyDescent="0.45">
      <c r="A5" s="8" t="s">
        <v>123</v>
      </c>
      <c r="B5" s="8" t="s">
        <v>307</v>
      </c>
      <c r="C5" s="8" t="s">
        <v>746</v>
      </c>
      <c r="D5" s="8" t="s">
        <v>747</v>
      </c>
      <c r="E5" s="8" t="s">
        <v>748</v>
      </c>
      <c r="F5" s="8" t="s">
        <v>749</v>
      </c>
    </row>
    <row r="6" spans="1:6" ht="39.75" customHeight="1" x14ac:dyDescent="0.45">
      <c r="A6" s="8" t="s">
        <v>135</v>
      </c>
      <c r="B6" s="8" t="s">
        <v>314</v>
      </c>
      <c r="C6" s="8" t="s">
        <v>746</v>
      </c>
      <c r="D6" s="8" t="s">
        <v>747</v>
      </c>
      <c r="E6" s="8" t="s">
        <v>748</v>
      </c>
      <c r="F6" s="8" t="s">
        <v>749</v>
      </c>
    </row>
    <row r="7" spans="1:6" ht="39.75" customHeight="1" x14ac:dyDescent="0.45">
      <c r="A7" s="8" t="s">
        <v>143</v>
      </c>
      <c r="B7" s="8" t="s">
        <v>322</v>
      </c>
      <c r="C7" s="8" t="s">
        <v>746</v>
      </c>
      <c r="D7" s="8" t="s">
        <v>747</v>
      </c>
      <c r="E7" s="8" t="s">
        <v>750</v>
      </c>
      <c r="F7" s="8" t="s">
        <v>751</v>
      </c>
    </row>
    <row r="8" spans="1:6" ht="39.75" customHeight="1" x14ac:dyDescent="0.45">
      <c r="A8" s="8" t="s">
        <v>151</v>
      </c>
      <c r="B8" s="8" t="s">
        <v>314</v>
      </c>
      <c r="C8" s="8" t="s">
        <v>746</v>
      </c>
      <c r="D8" s="8" t="s">
        <v>747</v>
      </c>
      <c r="E8" s="8" t="s">
        <v>748</v>
      </c>
      <c r="F8" s="8" t="s">
        <v>749</v>
      </c>
    </row>
    <row r="9" spans="1:6" ht="39.75" customHeight="1" x14ac:dyDescent="0.45">
      <c r="A9" s="8" t="s">
        <v>159</v>
      </c>
      <c r="B9" s="8" t="s">
        <v>314</v>
      </c>
      <c r="C9" s="8" t="s">
        <v>746</v>
      </c>
      <c r="D9" s="8" t="s">
        <v>747</v>
      </c>
      <c r="E9" s="8" t="s">
        <v>748</v>
      </c>
      <c r="F9" s="8" t="s">
        <v>749</v>
      </c>
    </row>
    <row r="10" spans="1:6" ht="39.75" customHeight="1" x14ac:dyDescent="0.45">
      <c r="A10" s="8" t="s">
        <v>167</v>
      </c>
      <c r="B10" s="8" t="s">
        <v>314</v>
      </c>
      <c r="C10" s="8" t="s">
        <v>746</v>
      </c>
      <c r="D10" s="8" t="s">
        <v>747</v>
      </c>
      <c r="E10" s="8" t="s">
        <v>748</v>
      </c>
      <c r="F10" s="8" t="s">
        <v>749</v>
      </c>
    </row>
    <row r="11" spans="1:6" ht="39.75" customHeight="1" x14ac:dyDescent="0.45">
      <c r="A11" s="8" t="s">
        <v>174</v>
      </c>
      <c r="B11" s="8" t="s">
        <v>314</v>
      </c>
      <c r="C11" s="8" t="s">
        <v>746</v>
      </c>
      <c r="D11" s="8" t="s">
        <v>747</v>
      </c>
      <c r="E11" s="8" t="s">
        <v>748</v>
      </c>
      <c r="F11" s="8" t="s">
        <v>749</v>
      </c>
    </row>
    <row r="12" spans="1:6" ht="39.75" customHeight="1" x14ac:dyDescent="0.45">
      <c r="A12" s="8" t="s">
        <v>182</v>
      </c>
      <c r="B12" s="8" t="s">
        <v>314</v>
      </c>
      <c r="C12" s="8" t="s">
        <v>746</v>
      </c>
      <c r="D12" s="8" t="s">
        <v>747</v>
      </c>
      <c r="E12" s="8" t="s">
        <v>748</v>
      </c>
      <c r="F12" s="8" t="s">
        <v>749</v>
      </c>
    </row>
    <row r="13" spans="1:6" ht="39.75" customHeight="1" x14ac:dyDescent="0.45">
      <c r="A13" s="8" t="s">
        <v>190</v>
      </c>
      <c r="B13" s="8" t="s">
        <v>314</v>
      </c>
      <c r="C13" s="8" t="s">
        <v>746</v>
      </c>
      <c r="D13" s="8" t="s">
        <v>747</v>
      </c>
      <c r="E13" s="8" t="s">
        <v>748</v>
      </c>
      <c r="F13" s="8" t="s">
        <v>749</v>
      </c>
    </row>
    <row r="14" spans="1:6" ht="39.75" customHeight="1" x14ac:dyDescent="0.45">
      <c r="A14" s="8" t="s">
        <v>198</v>
      </c>
      <c r="B14" s="8" t="s">
        <v>314</v>
      </c>
      <c r="C14" s="8" t="s">
        <v>746</v>
      </c>
      <c r="D14" s="8" t="s">
        <v>747</v>
      </c>
      <c r="E14" s="8" t="s">
        <v>748</v>
      </c>
      <c r="F14" s="8" t="s">
        <v>749</v>
      </c>
    </row>
    <row r="15" spans="1:6" ht="39.75" customHeight="1" x14ac:dyDescent="0.45">
      <c r="A15" s="8" t="s">
        <v>205</v>
      </c>
      <c r="B15" s="8" t="s">
        <v>314</v>
      </c>
      <c r="C15" s="8" t="s">
        <v>746</v>
      </c>
      <c r="D15" s="8" t="s">
        <v>747</v>
      </c>
      <c r="E15" s="8" t="s">
        <v>748</v>
      </c>
      <c r="F15" s="8" t="s">
        <v>749</v>
      </c>
    </row>
    <row r="16" spans="1:6" ht="39.75" customHeight="1" x14ac:dyDescent="0.45">
      <c r="A16" s="8" t="s">
        <v>213</v>
      </c>
      <c r="B16" s="8" t="s">
        <v>314</v>
      </c>
      <c r="C16" s="8" t="s">
        <v>746</v>
      </c>
      <c r="D16" s="8" t="s">
        <v>747</v>
      </c>
      <c r="E16" s="8" t="s">
        <v>748</v>
      </c>
      <c r="F16" s="8" t="s">
        <v>749</v>
      </c>
    </row>
    <row r="17" spans="1:6" ht="39.75" customHeight="1" x14ac:dyDescent="0.45">
      <c r="A17" s="8" t="s">
        <v>221</v>
      </c>
      <c r="B17" s="8" t="s">
        <v>314</v>
      </c>
      <c r="C17" s="8" t="s">
        <v>746</v>
      </c>
      <c r="D17" s="8" t="s">
        <v>747</v>
      </c>
      <c r="E17" s="8" t="s">
        <v>748</v>
      </c>
      <c r="F17" s="8" t="s">
        <v>749</v>
      </c>
    </row>
    <row r="18" spans="1:6" ht="39.75" customHeight="1" x14ac:dyDescent="0.45">
      <c r="A18" s="8" t="s">
        <v>230</v>
      </c>
      <c r="B18" s="8" t="s">
        <v>322</v>
      </c>
      <c r="C18" s="8" t="s">
        <v>746</v>
      </c>
      <c r="D18" s="8" t="s">
        <v>747</v>
      </c>
      <c r="E18" s="8" t="s">
        <v>752</v>
      </c>
      <c r="F18" s="8" t="s">
        <v>751</v>
      </c>
    </row>
    <row r="19" spans="1:6" ht="39.75" customHeight="1" x14ac:dyDescent="0.45">
      <c r="A19" s="8" t="s">
        <v>238</v>
      </c>
      <c r="B19" s="8" t="s">
        <v>314</v>
      </c>
      <c r="C19" s="8" t="s">
        <v>746</v>
      </c>
      <c r="D19" s="8" t="s">
        <v>747</v>
      </c>
      <c r="E19" s="8" t="s">
        <v>748</v>
      </c>
      <c r="F19" s="8" t="s">
        <v>749</v>
      </c>
    </row>
    <row r="20" spans="1:6" ht="39.75" customHeight="1" x14ac:dyDescent="0.45">
      <c r="A20" s="8" t="s">
        <v>247</v>
      </c>
      <c r="B20" s="8" t="s">
        <v>314</v>
      </c>
      <c r="C20" s="8" t="s">
        <v>746</v>
      </c>
      <c r="D20" s="8" t="s">
        <v>747</v>
      </c>
      <c r="E20" s="8" t="s">
        <v>748</v>
      </c>
      <c r="F20" s="8" t="s">
        <v>749</v>
      </c>
    </row>
    <row r="21" spans="1:6" ht="39.75" customHeight="1" x14ac:dyDescent="0.45">
      <c r="A21" s="8" t="s">
        <v>255</v>
      </c>
      <c r="B21" s="8" t="s">
        <v>314</v>
      </c>
      <c r="C21" s="8" t="s">
        <v>746</v>
      </c>
      <c r="D21" s="8" t="s">
        <v>747</v>
      </c>
      <c r="E21" s="8" t="s">
        <v>748</v>
      </c>
      <c r="F21" s="8" t="s">
        <v>749</v>
      </c>
    </row>
    <row r="22" spans="1:6" ht="39.75" customHeight="1" x14ac:dyDescent="0.45">
      <c r="A22" s="8" t="s">
        <v>263</v>
      </c>
      <c r="B22" s="8" t="s">
        <v>398</v>
      </c>
      <c r="C22" s="8" t="s">
        <v>746</v>
      </c>
      <c r="D22" s="8" t="s">
        <v>747</v>
      </c>
      <c r="E22" s="8" t="s">
        <v>748</v>
      </c>
      <c r="F22" s="8" t="s">
        <v>749</v>
      </c>
    </row>
    <row r="23" spans="1:6" ht="39.75" customHeight="1" x14ac:dyDescent="0.45">
      <c r="A23" s="8" t="s">
        <v>271</v>
      </c>
      <c r="B23" s="8" t="s">
        <v>402</v>
      </c>
      <c r="C23" s="8" t="s">
        <v>746</v>
      </c>
      <c r="D23" s="8" t="s">
        <v>747</v>
      </c>
      <c r="E23" s="8" t="s">
        <v>748</v>
      </c>
      <c r="F23" s="8" t="s">
        <v>749</v>
      </c>
    </row>
    <row r="24" spans="1:6" ht="39.75" customHeight="1" x14ac:dyDescent="0.45">
      <c r="A24" s="8" t="s">
        <v>280</v>
      </c>
      <c r="B24" s="8" t="s">
        <v>402</v>
      </c>
      <c r="C24" s="8" t="s">
        <v>746</v>
      </c>
      <c r="D24" s="8" t="s">
        <v>747</v>
      </c>
      <c r="E24" s="8" t="s">
        <v>748</v>
      </c>
      <c r="F24" s="8" t="s">
        <v>749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4" sqref="E4"/>
    </sheetView>
  </sheetViews>
  <sheetFormatPr defaultColWidth="8.6640625" defaultRowHeight="14.25" x14ac:dyDescent="0.45"/>
  <cols>
    <col min="1" max="1" width="20" customWidth="1"/>
    <col min="2" max="2" width="30" customWidth="1"/>
    <col min="3" max="3" width="40" customWidth="1"/>
    <col min="4" max="5" width="30" customWidth="1"/>
    <col min="6" max="6" width="44" customWidth="1"/>
    <col min="7" max="7" width="34" customWidth="1"/>
  </cols>
  <sheetData>
    <row r="1" spans="1:7" ht="25.5" customHeight="1" x14ac:dyDescent="0.45">
      <c r="A1" s="4" t="s">
        <v>753</v>
      </c>
      <c r="B1" s="4"/>
      <c r="C1" s="4"/>
      <c r="D1" s="4"/>
      <c r="E1" s="4"/>
      <c r="F1" s="4"/>
      <c r="G1" s="4"/>
    </row>
    <row r="2" spans="1:7" ht="15.75" customHeight="1" x14ac:dyDescent="0.45">
      <c r="A2" s="3" t="s">
        <v>754</v>
      </c>
      <c r="B2" s="3"/>
      <c r="C2" s="3"/>
      <c r="D2" s="3"/>
      <c r="E2" s="3"/>
      <c r="F2" s="3"/>
      <c r="G2" s="3"/>
    </row>
    <row r="4" spans="1:7" ht="27.75" x14ac:dyDescent="0.45">
      <c r="A4" s="14" t="s">
        <v>109</v>
      </c>
      <c r="B4" s="14" t="s">
        <v>755</v>
      </c>
      <c r="C4" s="14" t="s">
        <v>756</v>
      </c>
      <c r="D4" s="14" t="s">
        <v>757</v>
      </c>
      <c r="E4" s="14" t="s">
        <v>758</v>
      </c>
      <c r="F4" s="14" t="s">
        <v>759</v>
      </c>
      <c r="G4" s="14" t="s">
        <v>760</v>
      </c>
    </row>
    <row r="5" spans="1:7" ht="45" customHeight="1" x14ac:dyDescent="0.45">
      <c r="A5" s="8" t="s">
        <v>123</v>
      </c>
      <c r="B5" s="8" t="s">
        <v>761</v>
      </c>
      <c r="C5" s="16" t="s">
        <v>762</v>
      </c>
      <c r="D5" s="8" t="s">
        <v>763</v>
      </c>
      <c r="E5" s="18" t="s">
        <v>764</v>
      </c>
      <c r="F5" s="16" t="s">
        <v>359</v>
      </c>
      <c r="G5" s="8"/>
    </row>
    <row r="6" spans="1:7" ht="45" customHeight="1" x14ac:dyDescent="0.45">
      <c r="A6" s="8" t="s">
        <v>135</v>
      </c>
      <c r="B6" s="16" t="s">
        <v>765</v>
      </c>
      <c r="C6" s="16" t="s">
        <v>766</v>
      </c>
      <c r="D6" s="8"/>
      <c r="E6" s="18" t="s">
        <v>764</v>
      </c>
      <c r="F6" s="16" t="s">
        <v>359</v>
      </c>
      <c r="G6" s="8"/>
    </row>
    <row r="7" spans="1:7" ht="45" customHeight="1" x14ac:dyDescent="0.45">
      <c r="A7" s="8" t="s">
        <v>143</v>
      </c>
      <c r="B7" s="8" t="s">
        <v>767</v>
      </c>
      <c r="C7" s="16" t="s">
        <v>768</v>
      </c>
      <c r="D7" s="8" t="s">
        <v>769</v>
      </c>
      <c r="E7" s="18" t="s">
        <v>764</v>
      </c>
      <c r="F7" s="16" t="s">
        <v>359</v>
      </c>
      <c r="G7" s="8"/>
    </row>
    <row r="8" spans="1:7" ht="45" customHeight="1" x14ac:dyDescent="0.45">
      <c r="A8" s="8" t="s">
        <v>151</v>
      </c>
      <c r="B8" s="8" t="s">
        <v>770</v>
      </c>
      <c r="C8" s="16" t="s">
        <v>771</v>
      </c>
      <c r="D8" s="8" t="s">
        <v>772</v>
      </c>
      <c r="E8" s="18" t="s">
        <v>764</v>
      </c>
      <c r="F8" s="16" t="s">
        <v>359</v>
      </c>
      <c r="G8" s="8"/>
    </row>
    <row r="9" spans="1:7" ht="45" customHeight="1" x14ac:dyDescent="0.45">
      <c r="A9" s="8" t="s">
        <v>159</v>
      </c>
      <c r="B9" s="8" t="s">
        <v>773</v>
      </c>
      <c r="C9" s="16" t="s">
        <v>774</v>
      </c>
      <c r="D9" s="8" t="s">
        <v>775</v>
      </c>
      <c r="E9" s="18" t="s">
        <v>764</v>
      </c>
      <c r="F9" s="16" t="s">
        <v>359</v>
      </c>
      <c r="G9" s="8"/>
    </row>
    <row r="10" spans="1:7" ht="45" customHeight="1" x14ac:dyDescent="0.45">
      <c r="A10" s="8" t="s">
        <v>167</v>
      </c>
      <c r="B10" s="8" t="s">
        <v>776</v>
      </c>
      <c r="C10" s="16" t="s">
        <v>777</v>
      </c>
      <c r="D10" s="8" t="s">
        <v>769</v>
      </c>
      <c r="E10" s="18" t="s">
        <v>764</v>
      </c>
      <c r="F10" s="16" t="s">
        <v>359</v>
      </c>
      <c r="G10" s="8"/>
    </row>
    <row r="11" spans="1:7" ht="45" customHeight="1" x14ac:dyDescent="0.45">
      <c r="A11" s="8" t="s">
        <v>174</v>
      </c>
      <c r="B11" s="8" t="s">
        <v>778</v>
      </c>
      <c r="C11" s="16" t="s">
        <v>779</v>
      </c>
      <c r="D11" s="8" t="s">
        <v>775</v>
      </c>
      <c r="E11" s="18" t="s">
        <v>764</v>
      </c>
      <c r="F11" s="16" t="s">
        <v>780</v>
      </c>
      <c r="G11" s="8" t="s">
        <v>781</v>
      </c>
    </row>
    <row r="12" spans="1:7" ht="45" customHeight="1" x14ac:dyDescent="0.45">
      <c r="A12" s="8" t="s">
        <v>182</v>
      </c>
      <c r="B12" s="16" t="s">
        <v>782</v>
      </c>
      <c r="C12" s="16" t="s">
        <v>783</v>
      </c>
      <c r="D12" s="8" t="s">
        <v>784</v>
      </c>
      <c r="E12" s="18" t="s">
        <v>764</v>
      </c>
      <c r="F12" s="16" t="s">
        <v>785</v>
      </c>
      <c r="G12" s="8" t="s">
        <v>786</v>
      </c>
    </row>
    <row r="13" spans="1:7" ht="45" customHeight="1" x14ac:dyDescent="0.45">
      <c r="A13" s="8" t="s">
        <v>190</v>
      </c>
      <c r="B13" s="16" t="s">
        <v>787</v>
      </c>
      <c r="C13" s="16" t="s">
        <v>788</v>
      </c>
      <c r="D13" s="8" t="s">
        <v>789</v>
      </c>
      <c r="E13" s="18" t="s">
        <v>764</v>
      </c>
      <c r="F13" s="16" t="s">
        <v>790</v>
      </c>
      <c r="G13" s="8" t="s">
        <v>791</v>
      </c>
    </row>
    <row r="14" spans="1:7" ht="45" customHeight="1" x14ac:dyDescent="0.45">
      <c r="A14" s="8" t="s">
        <v>198</v>
      </c>
      <c r="B14" s="16" t="s">
        <v>792</v>
      </c>
      <c r="C14" s="16" t="s">
        <v>793</v>
      </c>
      <c r="D14" s="8" t="s">
        <v>769</v>
      </c>
      <c r="E14" s="18" t="s">
        <v>764</v>
      </c>
      <c r="F14" s="16" t="s">
        <v>359</v>
      </c>
      <c r="G14" s="8"/>
    </row>
    <row r="15" spans="1:7" ht="45" customHeight="1" x14ac:dyDescent="0.45">
      <c r="A15" s="8" t="s">
        <v>205</v>
      </c>
      <c r="B15" s="16" t="s">
        <v>794</v>
      </c>
      <c r="C15" s="16" t="s">
        <v>795</v>
      </c>
      <c r="D15" s="8" t="s">
        <v>769</v>
      </c>
      <c r="E15" s="18" t="s">
        <v>764</v>
      </c>
      <c r="F15" s="16" t="s">
        <v>359</v>
      </c>
      <c r="G15" s="8"/>
    </row>
    <row r="16" spans="1:7" ht="45" customHeight="1" x14ac:dyDescent="0.45">
      <c r="A16" s="8" t="s">
        <v>213</v>
      </c>
      <c r="B16" s="20" t="s">
        <v>359</v>
      </c>
      <c r="C16" s="16" t="s">
        <v>796</v>
      </c>
      <c r="D16" s="8"/>
      <c r="E16" s="18" t="s">
        <v>764</v>
      </c>
      <c r="F16" s="16" t="s">
        <v>359</v>
      </c>
      <c r="G16" s="8"/>
    </row>
    <row r="17" spans="1:7" ht="45" customHeight="1" x14ac:dyDescent="0.45">
      <c r="A17" s="8" t="s">
        <v>221</v>
      </c>
      <c r="B17" s="20" t="s">
        <v>359</v>
      </c>
      <c r="C17" s="16" t="s">
        <v>797</v>
      </c>
      <c r="D17" s="8" t="s">
        <v>769</v>
      </c>
      <c r="E17" s="18" t="s">
        <v>764</v>
      </c>
      <c r="F17" s="16" t="s">
        <v>359</v>
      </c>
      <c r="G17" s="8"/>
    </row>
    <row r="18" spans="1:7" ht="45" customHeight="1" x14ac:dyDescent="0.45">
      <c r="A18" s="8" t="s">
        <v>230</v>
      </c>
      <c r="B18" s="16" t="s">
        <v>798</v>
      </c>
      <c r="C18" s="16" t="s">
        <v>799</v>
      </c>
      <c r="D18" s="8" t="s">
        <v>769</v>
      </c>
      <c r="E18" s="18" t="s">
        <v>764</v>
      </c>
      <c r="F18" s="16" t="s">
        <v>359</v>
      </c>
      <c r="G18" s="8"/>
    </row>
    <row r="19" spans="1:7" ht="45" customHeight="1" x14ac:dyDescent="0.45">
      <c r="A19" s="8" t="s">
        <v>238</v>
      </c>
      <c r="B19" s="16" t="s">
        <v>800</v>
      </c>
      <c r="C19" s="16" t="s">
        <v>801</v>
      </c>
      <c r="D19" s="8" t="s">
        <v>802</v>
      </c>
      <c r="E19" s="18" t="s">
        <v>764</v>
      </c>
      <c r="F19" s="16" t="s">
        <v>803</v>
      </c>
      <c r="G19" s="8" t="s">
        <v>804</v>
      </c>
    </row>
    <row r="20" spans="1:7" ht="45" customHeight="1" x14ac:dyDescent="0.45">
      <c r="A20" s="8" t="s">
        <v>247</v>
      </c>
      <c r="B20" s="16" t="s">
        <v>805</v>
      </c>
      <c r="C20" s="16" t="s">
        <v>806</v>
      </c>
      <c r="D20" s="8" t="s">
        <v>769</v>
      </c>
      <c r="E20" s="18" t="s">
        <v>764</v>
      </c>
      <c r="F20" s="16" t="s">
        <v>359</v>
      </c>
      <c r="G20" s="8"/>
    </row>
    <row r="21" spans="1:7" ht="45" customHeight="1" x14ac:dyDescent="0.45">
      <c r="A21" s="8" t="s">
        <v>255</v>
      </c>
      <c r="B21" s="16" t="s">
        <v>805</v>
      </c>
      <c r="C21" s="16" t="s">
        <v>807</v>
      </c>
      <c r="D21" s="8"/>
      <c r="E21" s="18" t="s">
        <v>764</v>
      </c>
      <c r="F21" s="16" t="s">
        <v>359</v>
      </c>
      <c r="G21" s="8"/>
    </row>
    <row r="22" spans="1:7" ht="45" customHeight="1" x14ac:dyDescent="0.45">
      <c r="A22" s="8" t="s">
        <v>263</v>
      </c>
      <c r="B22" s="16" t="s">
        <v>808</v>
      </c>
      <c r="C22" s="16" t="s">
        <v>809</v>
      </c>
      <c r="D22" s="8" t="s">
        <v>810</v>
      </c>
      <c r="E22" s="18" t="s">
        <v>764</v>
      </c>
      <c r="F22" s="16" t="s">
        <v>359</v>
      </c>
      <c r="G22" s="8"/>
    </row>
    <row r="23" spans="1:7" ht="45" customHeight="1" x14ac:dyDescent="0.45">
      <c r="A23" s="8" t="s">
        <v>271</v>
      </c>
      <c r="B23" s="16" t="s">
        <v>811</v>
      </c>
      <c r="C23" s="16" t="s">
        <v>812</v>
      </c>
      <c r="D23" s="8" t="s">
        <v>775</v>
      </c>
      <c r="E23" s="18" t="s">
        <v>764</v>
      </c>
      <c r="F23" s="16" t="s">
        <v>359</v>
      </c>
      <c r="G23" s="8"/>
    </row>
    <row r="24" spans="1:7" ht="45" customHeight="1" x14ac:dyDescent="0.45">
      <c r="A24" s="8" t="s">
        <v>280</v>
      </c>
      <c r="B24" s="8" t="s">
        <v>813</v>
      </c>
      <c r="C24" s="16" t="s">
        <v>814</v>
      </c>
      <c r="D24" s="8" t="s">
        <v>815</v>
      </c>
      <c r="E24" s="18" t="s">
        <v>764</v>
      </c>
      <c r="F24" s="16" t="s">
        <v>359</v>
      </c>
      <c r="G24" s="8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C1"/>
    </sheetView>
  </sheetViews>
  <sheetFormatPr defaultColWidth="8.6640625" defaultRowHeight="14.25" x14ac:dyDescent="0.45"/>
  <cols>
    <col min="1" max="1" width="20" customWidth="1"/>
    <col min="2" max="2" width="60" customWidth="1"/>
    <col min="3" max="3" width="30" customWidth="1"/>
  </cols>
  <sheetData>
    <row r="1" spans="1:3" ht="25.5" customHeight="1" x14ac:dyDescent="0.45">
      <c r="A1" s="4" t="s">
        <v>816</v>
      </c>
      <c r="B1" s="4"/>
      <c r="C1" s="4"/>
    </row>
    <row r="2" spans="1:3" ht="15.75" customHeight="1" x14ac:dyDescent="0.45">
      <c r="A2" s="3" t="s">
        <v>817</v>
      </c>
      <c r="B2" s="3"/>
      <c r="C2" s="3"/>
    </row>
    <row r="4" spans="1:3" x14ac:dyDescent="0.45">
      <c r="A4" s="14" t="s">
        <v>109</v>
      </c>
      <c r="B4" s="14" t="s">
        <v>818</v>
      </c>
      <c r="C4" s="14" t="s">
        <v>819</v>
      </c>
    </row>
    <row r="5" spans="1:3" ht="39.75" customHeight="1" x14ac:dyDescent="0.45">
      <c r="A5" s="8" t="s">
        <v>123</v>
      </c>
      <c r="B5" s="8" t="s">
        <v>132</v>
      </c>
      <c r="C5" s="16" t="s">
        <v>820</v>
      </c>
    </row>
    <row r="6" spans="1:3" ht="39.75" customHeight="1" x14ac:dyDescent="0.45">
      <c r="A6" s="8" t="s">
        <v>135</v>
      </c>
      <c r="B6" s="8" t="s">
        <v>141</v>
      </c>
      <c r="C6" s="16" t="s">
        <v>821</v>
      </c>
    </row>
    <row r="7" spans="1:3" ht="39.75" customHeight="1" x14ac:dyDescent="0.45">
      <c r="A7" s="8" t="s">
        <v>143</v>
      </c>
      <c r="B7" s="8" t="s">
        <v>149</v>
      </c>
      <c r="C7" s="16" t="s">
        <v>822</v>
      </c>
    </row>
    <row r="8" spans="1:3" ht="39.75" customHeight="1" x14ac:dyDescent="0.45">
      <c r="A8" s="8" t="s">
        <v>151</v>
      </c>
      <c r="B8" s="8" t="s">
        <v>157</v>
      </c>
      <c r="C8" s="16" t="s">
        <v>823</v>
      </c>
    </row>
    <row r="9" spans="1:3" ht="39.75" customHeight="1" x14ac:dyDescent="0.45">
      <c r="A9" s="8" t="s">
        <v>159</v>
      </c>
      <c r="B9" s="8" t="s">
        <v>165</v>
      </c>
      <c r="C9" s="16" t="s">
        <v>821</v>
      </c>
    </row>
    <row r="10" spans="1:3" ht="39.75" customHeight="1" x14ac:dyDescent="0.45">
      <c r="A10" s="8" t="s">
        <v>167</v>
      </c>
      <c r="B10" s="8" t="s">
        <v>172</v>
      </c>
      <c r="C10" s="16" t="s">
        <v>824</v>
      </c>
    </row>
    <row r="11" spans="1:3" ht="39.75" customHeight="1" x14ac:dyDescent="0.45">
      <c r="A11" s="8" t="s">
        <v>174</v>
      </c>
      <c r="B11" s="8" t="s">
        <v>180</v>
      </c>
      <c r="C11" s="16" t="s">
        <v>825</v>
      </c>
    </row>
    <row r="12" spans="1:3" ht="39.75" customHeight="1" x14ac:dyDescent="0.45">
      <c r="A12" s="8" t="s">
        <v>182</v>
      </c>
      <c r="B12" s="8" t="s">
        <v>188</v>
      </c>
      <c r="C12" s="16" t="s">
        <v>826</v>
      </c>
    </row>
    <row r="13" spans="1:3" ht="39.75" customHeight="1" x14ac:dyDescent="0.45">
      <c r="A13" s="8" t="s">
        <v>190</v>
      </c>
      <c r="B13" s="8" t="s">
        <v>196</v>
      </c>
      <c r="C13" s="16" t="s">
        <v>827</v>
      </c>
    </row>
    <row r="14" spans="1:3" ht="39.75" customHeight="1" x14ac:dyDescent="0.45">
      <c r="A14" s="8" t="s">
        <v>198</v>
      </c>
      <c r="B14" s="8" t="s">
        <v>141</v>
      </c>
      <c r="C14" s="16" t="s">
        <v>821</v>
      </c>
    </row>
    <row r="15" spans="1:3" ht="39.75" customHeight="1" x14ac:dyDescent="0.45">
      <c r="A15" s="8" t="s">
        <v>205</v>
      </c>
      <c r="B15" s="8" t="s">
        <v>211</v>
      </c>
      <c r="C15" s="16" t="s">
        <v>824</v>
      </c>
    </row>
    <row r="16" spans="1:3" ht="39.75" customHeight="1" x14ac:dyDescent="0.45">
      <c r="A16" s="8" t="s">
        <v>213</v>
      </c>
      <c r="B16" s="8" t="s">
        <v>219</v>
      </c>
      <c r="C16" s="16" t="s">
        <v>828</v>
      </c>
    </row>
    <row r="17" spans="1:3" ht="39.75" customHeight="1" x14ac:dyDescent="0.45">
      <c r="A17" s="8" t="s">
        <v>221</v>
      </c>
      <c r="B17" s="8" t="s">
        <v>227</v>
      </c>
      <c r="C17" s="16" t="s">
        <v>829</v>
      </c>
    </row>
    <row r="18" spans="1:3" ht="39.75" customHeight="1" x14ac:dyDescent="0.45">
      <c r="A18" s="8" t="s">
        <v>230</v>
      </c>
      <c r="B18" s="8" t="s">
        <v>236</v>
      </c>
      <c r="C18" s="16" t="s">
        <v>830</v>
      </c>
    </row>
    <row r="19" spans="1:3" ht="39.75" customHeight="1" x14ac:dyDescent="0.45">
      <c r="A19" s="8" t="s">
        <v>238</v>
      </c>
      <c r="B19" s="8" t="s">
        <v>244</v>
      </c>
      <c r="C19" s="16" t="s">
        <v>831</v>
      </c>
    </row>
    <row r="20" spans="1:3" ht="39.75" customHeight="1" x14ac:dyDescent="0.45">
      <c r="A20" s="8" t="s">
        <v>247</v>
      </c>
      <c r="B20" s="8" t="s">
        <v>253</v>
      </c>
      <c r="C20" s="16" t="s">
        <v>832</v>
      </c>
    </row>
    <row r="21" spans="1:3" ht="39.75" customHeight="1" x14ac:dyDescent="0.45">
      <c r="A21" s="8" t="s">
        <v>255</v>
      </c>
      <c r="B21" s="8" t="s">
        <v>260</v>
      </c>
      <c r="C21" s="16" t="s">
        <v>832</v>
      </c>
    </row>
    <row r="22" spans="1:3" ht="39.75" customHeight="1" x14ac:dyDescent="0.45">
      <c r="A22" s="8" t="s">
        <v>263</v>
      </c>
      <c r="B22" s="8" t="s">
        <v>269</v>
      </c>
      <c r="C22" s="16" t="s">
        <v>833</v>
      </c>
    </row>
    <row r="23" spans="1:3" ht="39.75" customHeight="1" x14ac:dyDescent="0.45">
      <c r="A23" s="8" t="s">
        <v>271</v>
      </c>
      <c r="B23" s="8" t="s">
        <v>277</v>
      </c>
      <c r="C23" s="16" t="s">
        <v>775</v>
      </c>
    </row>
    <row r="24" spans="1:3" ht="39.75" customHeight="1" x14ac:dyDescent="0.45">
      <c r="A24" s="8" t="s">
        <v>280</v>
      </c>
      <c r="B24" s="8" t="s">
        <v>286</v>
      </c>
      <c r="C24" s="16" t="s">
        <v>834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defaultColWidth="8.6640625" defaultRowHeight="14.25" x14ac:dyDescent="0.45"/>
  <cols>
    <col min="1" max="1" width="22" customWidth="1"/>
    <col min="2" max="2" width="50" customWidth="1"/>
    <col min="3" max="3" width="55" customWidth="1"/>
    <col min="4" max="4" width="44" customWidth="1"/>
    <col min="5" max="5" width="10" customWidth="1"/>
  </cols>
  <sheetData>
    <row r="1" spans="1:5" ht="25.5" customHeight="1" x14ac:dyDescent="0.45">
      <c r="A1" s="4" t="s">
        <v>835</v>
      </c>
      <c r="B1" s="4"/>
      <c r="C1" s="4"/>
      <c r="D1" s="4"/>
      <c r="E1" s="4"/>
    </row>
    <row r="2" spans="1:5" ht="15.75" customHeight="1" x14ac:dyDescent="0.45">
      <c r="A2" s="3" t="s">
        <v>836</v>
      </c>
      <c r="B2" s="3"/>
      <c r="C2" s="3"/>
      <c r="D2" s="3"/>
      <c r="E2" s="3"/>
    </row>
    <row r="4" spans="1:5" x14ac:dyDescent="0.45">
      <c r="A4" s="14" t="s">
        <v>837</v>
      </c>
      <c r="B4" s="14" t="s">
        <v>838</v>
      </c>
      <c r="C4" s="14" t="s">
        <v>839</v>
      </c>
      <c r="D4" s="14" t="s">
        <v>840</v>
      </c>
      <c r="E4" s="14" t="s">
        <v>841</v>
      </c>
    </row>
    <row r="5" spans="1:5" ht="109.5" customHeight="1" x14ac:dyDescent="0.45">
      <c r="A5" s="8" t="s">
        <v>842</v>
      </c>
      <c r="B5" s="8" t="s">
        <v>843</v>
      </c>
      <c r="C5" s="8" t="s">
        <v>844</v>
      </c>
      <c r="D5" s="8" t="s">
        <v>845</v>
      </c>
      <c r="E5" s="21" t="s">
        <v>846</v>
      </c>
    </row>
    <row r="6" spans="1:5" ht="109.5" customHeight="1" x14ac:dyDescent="0.45">
      <c r="A6" s="8" t="s">
        <v>847</v>
      </c>
      <c r="B6" s="8" t="s">
        <v>848</v>
      </c>
      <c r="C6" s="8" t="s">
        <v>849</v>
      </c>
      <c r="D6" s="8" t="s">
        <v>850</v>
      </c>
      <c r="E6" s="21" t="s">
        <v>846</v>
      </c>
    </row>
    <row r="7" spans="1:5" ht="109.5" customHeight="1" x14ac:dyDescent="0.45">
      <c r="A7" s="8" t="s">
        <v>851</v>
      </c>
      <c r="B7" s="8" t="s">
        <v>852</v>
      </c>
      <c r="C7" s="8" t="s">
        <v>853</v>
      </c>
      <c r="D7" s="8" t="s">
        <v>854</v>
      </c>
      <c r="E7" s="21" t="s">
        <v>855</v>
      </c>
    </row>
    <row r="8" spans="1:5" ht="109.5" customHeight="1" x14ac:dyDescent="0.45">
      <c r="A8" s="8" t="s">
        <v>856</v>
      </c>
      <c r="B8" s="8" t="s">
        <v>857</v>
      </c>
      <c r="C8" s="8" t="s">
        <v>858</v>
      </c>
      <c r="D8" s="8" t="s">
        <v>859</v>
      </c>
      <c r="E8" s="21" t="s">
        <v>846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showGridLines="0" zoomScaleNormal="100" workbookViewId="0">
      <pane ySplit="4" topLeftCell="A5" activePane="bottomLeft" state="frozen"/>
      <selection pane="bottomLeft" sqref="A1:C1"/>
    </sheetView>
  </sheetViews>
  <sheetFormatPr defaultColWidth="8.6640625" defaultRowHeight="14.25" x14ac:dyDescent="0.45"/>
  <cols>
    <col min="1" max="1" width="26" customWidth="1"/>
    <col min="2" max="2" width="70" customWidth="1"/>
    <col min="3" max="3" width="40" customWidth="1"/>
  </cols>
  <sheetData>
    <row r="1" spans="1:3" ht="25.5" customHeight="1" x14ac:dyDescent="0.45">
      <c r="A1" s="4" t="s">
        <v>860</v>
      </c>
      <c r="B1" s="4"/>
      <c r="C1" s="4"/>
    </row>
    <row r="2" spans="1:3" ht="15.75" customHeight="1" x14ac:dyDescent="0.45">
      <c r="A2" s="3" t="s">
        <v>861</v>
      </c>
      <c r="B2" s="3"/>
      <c r="C2" s="3"/>
    </row>
    <row r="4" spans="1:3" x14ac:dyDescent="0.45">
      <c r="A4" s="14" t="s">
        <v>41</v>
      </c>
      <c r="B4" s="14" t="s">
        <v>42</v>
      </c>
      <c r="C4" s="14" t="s">
        <v>43</v>
      </c>
    </row>
    <row r="5" spans="1:3" ht="54.75" customHeight="1" x14ac:dyDescent="0.45">
      <c r="A5" s="15" t="s">
        <v>862</v>
      </c>
      <c r="B5" s="8" t="s">
        <v>863</v>
      </c>
      <c r="C5" s="8" t="s">
        <v>90</v>
      </c>
    </row>
    <row r="6" spans="1:3" ht="54.75" customHeight="1" x14ac:dyDescent="0.45">
      <c r="A6" s="15" t="s">
        <v>864</v>
      </c>
      <c r="B6" s="8" t="s">
        <v>865</v>
      </c>
      <c r="C6" s="8" t="s">
        <v>866</v>
      </c>
    </row>
    <row r="7" spans="1:3" ht="54.75" customHeight="1" x14ac:dyDescent="0.45">
      <c r="A7" s="15" t="s">
        <v>867</v>
      </c>
      <c r="B7" s="8" t="s">
        <v>868</v>
      </c>
      <c r="C7" s="8" t="s">
        <v>869</v>
      </c>
    </row>
    <row r="8" spans="1:3" ht="54.75" customHeight="1" x14ac:dyDescent="0.45">
      <c r="A8" s="15" t="s">
        <v>870</v>
      </c>
      <c r="B8" s="8" t="s">
        <v>871</v>
      </c>
      <c r="C8" s="8" t="s">
        <v>872</v>
      </c>
    </row>
    <row r="9" spans="1:3" ht="54.75" customHeight="1" x14ac:dyDescent="0.45">
      <c r="A9" s="15" t="s">
        <v>873</v>
      </c>
      <c r="B9" s="8" t="s">
        <v>874</v>
      </c>
      <c r="C9" s="8" t="s">
        <v>875</v>
      </c>
    </row>
    <row r="10" spans="1:3" ht="54.75" customHeight="1" x14ac:dyDescent="0.45">
      <c r="A10" s="15" t="s">
        <v>876</v>
      </c>
      <c r="B10" s="8" t="s">
        <v>877</v>
      </c>
      <c r="C10" s="8" t="s">
        <v>878</v>
      </c>
    </row>
    <row r="11" spans="1:3" ht="54.75" customHeight="1" x14ac:dyDescent="0.45">
      <c r="A11" s="15" t="s">
        <v>879</v>
      </c>
      <c r="B11" s="8" t="s">
        <v>880</v>
      </c>
      <c r="C11" s="8" t="s">
        <v>881</v>
      </c>
    </row>
    <row r="12" spans="1:3" ht="54.75" customHeight="1" x14ac:dyDescent="0.45">
      <c r="A12" s="15" t="s">
        <v>882</v>
      </c>
      <c r="B12" s="8" t="s">
        <v>883</v>
      </c>
      <c r="C12" s="8" t="s">
        <v>884</v>
      </c>
    </row>
    <row r="13" spans="1:3" ht="54.75" customHeight="1" x14ac:dyDescent="0.45">
      <c r="A13" s="15" t="s">
        <v>885</v>
      </c>
      <c r="B13" s="8" t="s">
        <v>886</v>
      </c>
      <c r="C13" s="8" t="s">
        <v>887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26" customWidth="1"/>
    <col min="2" max="2" width="70" customWidth="1"/>
    <col min="3" max="3" width="40" customWidth="1"/>
  </cols>
  <sheetData>
    <row r="1" spans="1:3" ht="25.5" customHeight="1" x14ac:dyDescent="0.45">
      <c r="A1" s="4" t="s">
        <v>888</v>
      </c>
      <c r="B1" s="4"/>
      <c r="C1" s="4"/>
    </row>
    <row r="2" spans="1:3" ht="15.75" customHeight="1" x14ac:dyDescent="0.45">
      <c r="A2" s="3" t="s">
        <v>889</v>
      </c>
      <c r="B2" s="3"/>
      <c r="C2" s="3"/>
    </row>
    <row r="4" spans="1:3" x14ac:dyDescent="0.45">
      <c r="A4" s="14" t="s">
        <v>41</v>
      </c>
      <c r="B4" s="14" t="s">
        <v>42</v>
      </c>
      <c r="C4" s="14" t="s">
        <v>43</v>
      </c>
    </row>
    <row r="5" spans="1:3" ht="54.75" customHeight="1" x14ac:dyDescent="0.45">
      <c r="A5" s="22" t="s">
        <v>890</v>
      </c>
      <c r="B5" s="8" t="s">
        <v>891</v>
      </c>
      <c r="C5" s="8" t="s">
        <v>892</v>
      </c>
    </row>
    <row r="6" spans="1:3" ht="54.75" customHeight="1" x14ac:dyDescent="0.45">
      <c r="A6" s="22" t="s">
        <v>893</v>
      </c>
      <c r="B6" s="8" t="s">
        <v>894</v>
      </c>
      <c r="C6" s="8" t="s">
        <v>61</v>
      </c>
    </row>
    <row r="7" spans="1:3" ht="54.75" customHeight="1" x14ac:dyDescent="0.45">
      <c r="A7" s="22" t="s">
        <v>895</v>
      </c>
      <c r="B7" s="8" t="s">
        <v>896</v>
      </c>
      <c r="C7" s="8" t="s">
        <v>897</v>
      </c>
    </row>
    <row r="8" spans="1:3" ht="54.75" customHeight="1" x14ac:dyDescent="0.45">
      <c r="A8" s="22" t="s">
        <v>898</v>
      </c>
      <c r="B8" s="8" t="s">
        <v>899</v>
      </c>
      <c r="C8" s="8" t="s">
        <v>887</v>
      </c>
    </row>
    <row r="9" spans="1:3" ht="54.75" customHeight="1" x14ac:dyDescent="0.45">
      <c r="A9" s="22" t="s">
        <v>900</v>
      </c>
      <c r="B9" s="8" t="s">
        <v>901</v>
      </c>
      <c r="C9" s="8" t="s">
        <v>902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40" customWidth="1"/>
    <col min="2" max="2" width="16" customWidth="1"/>
    <col min="3" max="3" width="50" customWidth="1"/>
  </cols>
  <sheetData>
    <row r="1" spans="1:3" ht="25.5" customHeight="1" x14ac:dyDescent="0.45">
      <c r="A1" s="4" t="s">
        <v>903</v>
      </c>
      <c r="B1" s="4"/>
      <c r="C1" s="4"/>
    </row>
    <row r="2" spans="1:3" ht="15.75" customHeight="1" x14ac:dyDescent="0.45">
      <c r="A2" s="3" t="s">
        <v>904</v>
      </c>
      <c r="B2" s="3"/>
      <c r="C2" s="3"/>
    </row>
    <row r="4" spans="1:3" x14ac:dyDescent="0.45">
      <c r="A4" s="14" t="s">
        <v>905</v>
      </c>
      <c r="B4" s="14" t="s">
        <v>42</v>
      </c>
      <c r="C4" s="14" t="s">
        <v>906</v>
      </c>
    </row>
    <row r="5" spans="1:3" ht="27.75" customHeight="1" x14ac:dyDescent="0.45">
      <c r="A5" s="23" t="s">
        <v>907</v>
      </c>
      <c r="B5" s="24">
        <v>103</v>
      </c>
      <c r="C5" s="8" t="s">
        <v>908</v>
      </c>
    </row>
    <row r="6" spans="1:3" ht="27.75" customHeight="1" x14ac:dyDescent="0.45">
      <c r="A6" s="23" t="s">
        <v>909</v>
      </c>
      <c r="B6" s="24">
        <v>78</v>
      </c>
      <c r="C6" s="8" t="s">
        <v>908</v>
      </c>
    </row>
    <row r="7" spans="1:3" ht="27.75" customHeight="1" x14ac:dyDescent="0.45">
      <c r="A7" s="23" t="s">
        <v>910</v>
      </c>
      <c r="B7" s="24">
        <v>8000</v>
      </c>
      <c r="C7" s="8" t="s">
        <v>911</v>
      </c>
    </row>
    <row r="8" spans="1:3" ht="27.75" customHeight="1" x14ac:dyDescent="0.45">
      <c r="A8" s="23" t="s">
        <v>912</v>
      </c>
      <c r="B8" s="25">
        <v>0.1</v>
      </c>
      <c r="C8" s="8" t="s">
        <v>913</v>
      </c>
    </row>
    <row r="9" spans="1:3" ht="27.75" customHeight="1" x14ac:dyDescent="0.45">
      <c r="A9" s="23" t="s">
        <v>914</v>
      </c>
      <c r="B9" s="25">
        <v>3.5000000000000003E-2</v>
      </c>
      <c r="C9" s="8" t="s">
        <v>915</v>
      </c>
    </row>
    <row r="10" spans="1:3" ht="27.75" customHeight="1" x14ac:dyDescent="0.45">
      <c r="A10" s="23" t="s">
        <v>916</v>
      </c>
      <c r="B10" s="25">
        <v>1.4999999999999999E-2</v>
      </c>
      <c r="C10" s="8" t="s">
        <v>917</v>
      </c>
    </row>
    <row r="11" spans="1:3" ht="27.75" customHeight="1" x14ac:dyDescent="0.45">
      <c r="A11" s="23" t="s">
        <v>918</v>
      </c>
      <c r="B11" s="24">
        <v>1500</v>
      </c>
      <c r="C11" s="8" t="s">
        <v>919</v>
      </c>
    </row>
    <row r="12" spans="1:3" ht="27.75" customHeight="1" x14ac:dyDescent="0.45">
      <c r="A12" s="23" t="s">
        <v>920</v>
      </c>
      <c r="B12" s="24">
        <v>2200</v>
      </c>
      <c r="C12" s="8" t="s">
        <v>921</v>
      </c>
    </row>
    <row r="13" spans="1:3" ht="27.75" customHeight="1" x14ac:dyDescent="0.45">
      <c r="A13" s="23" t="s">
        <v>922</v>
      </c>
      <c r="B13" s="24">
        <v>3200</v>
      </c>
      <c r="C13" s="8" t="s">
        <v>923</v>
      </c>
    </row>
    <row r="14" spans="1:3" ht="27.75" customHeight="1" x14ac:dyDescent="0.45">
      <c r="A14" s="23" t="s">
        <v>924</v>
      </c>
      <c r="B14" s="24">
        <v>4800</v>
      </c>
      <c r="C14" s="8" t="s">
        <v>925</v>
      </c>
    </row>
    <row r="15" spans="1:3" ht="27.75" customHeight="1" x14ac:dyDescent="0.45">
      <c r="A15" s="23" t="s">
        <v>926</v>
      </c>
      <c r="B15" s="25">
        <v>0.55000000000000004</v>
      </c>
      <c r="C15" s="8" t="s">
        <v>927</v>
      </c>
    </row>
    <row r="16" spans="1:3" ht="27.75" customHeight="1" x14ac:dyDescent="0.45">
      <c r="A16" s="23" t="s">
        <v>928</v>
      </c>
      <c r="B16" s="25">
        <v>0.4</v>
      </c>
      <c r="C16" s="8" t="s">
        <v>929</v>
      </c>
    </row>
    <row r="17" spans="1:3" ht="27.75" customHeight="1" x14ac:dyDescent="0.45">
      <c r="A17" s="23" t="s">
        <v>930</v>
      </c>
      <c r="B17" s="25">
        <v>0.2</v>
      </c>
      <c r="C17" s="8" t="s">
        <v>931</v>
      </c>
    </row>
    <row r="18" spans="1:3" ht="27.75" customHeight="1" x14ac:dyDescent="0.45">
      <c r="A18" s="23" t="s">
        <v>932</v>
      </c>
      <c r="B18" s="24">
        <v>36</v>
      </c>
      <c r="C18" s="8" t="s">
        <v>933</v>
      </c>
    </row>
    <row r="19" spans="1:3" ht="27.75" customHeight="1" x14ac:dyDescent="0.45">
      <c r="A19" s="23" t="s">
        <v>934</v>
      </c>
      <c r="B19" s="25">
        <v>0.11</v>
      </c>
      <c r="C19" s="8" t="s">
        <v>935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25" x14ac:dyDescent="0.45"/>
  <cols>
    <col min="1" max="1" width="20" customWidth="1"/>
    <col min="2" max="2" width="14" customWidth="1"/>
    <col min="3" max="3" width="12" customWidth="1"/>
    <col min="4" max="4" width="8" customWidth="1"/>
    <col min="5" max="5" width="40" customWidth="1"/>
    <col min="6" max="6" width="12" customWidth="1"/>
    <col min="7" max="9" width="14" customWidth="1"/>
    <col min="10" max="12" width="16" customWidth="1"/>
    <col min="13" max="14" width="14" customWidth="1"/>
    <col min="15" max="15" width="16" customWidth="1"/>
    <col min="16" max="17" width="14" customWidth="1"/>
  </cols>
  <sheetData>
    <row r="1" spans="1:17" ht="25.5" customHeight="1" x14ac:dyDescent="0.45">
      <c r="A1" s="4" t="s">
        <v>936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5.75" customHeight="1" x14ac:dyDescent="0.45">
      <c r="A2" s="3" t="s">
        <v>937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spans="1:17" ht="41.65" x14ac:dyDescent="0.45">
      <c r="A4" s="14" t="s">
        <v>109</v>
      </c>
      <c r="B4" s="14" t="s">
        <v>938</v>
      </c>
      <c r="C4" s="14" t="s">
        <v>939</v>
      </c>
      <c r="D4" s="14" t="s">
        <v>940</v>
      </c>
      <c r="E4" s="14" t="s">
        <v>941</v>
      </c>
      <c r="F4" s="14" t="s">
        <v>942</v>
      </c>
      <c r="G4" s="14" t="s">
        <v>943</v>
      </c>
      <c r="H4" s="14" t="s">
        <v>944</v>
      </c>
      <c r="I4" s="14" t="s">
        <v>945</v>
      </c>
      <c r="J4" s="14" t="s">
        <v>946</v>
      </c>
      <c r="K4" s="14" t="s">
        <v>947</v>
      </c>
      <c r="L4" s="14" t="s">
        <v>948</v>
      </c>
      <c r="M4" s="14" t="s">
        <v>949</v>
      </c>
      <c r="N4" s="14" t="s">
        <v>950</v>
      </c>
      <c r="O4" s="14" t="s">
        <v>951</v>
      </c>
      <c r="P4" s="14" t="s">
        <v>952</v>
      </c>
      <c r="Q4" s="14" t="s">
        <v>953</v>
      </c>
    </row>
    <row r="5" spans="1:17" ht="30" customHeight="1" x14ac:dyDescent="0.45">
      <c r="A5" s="26" t="s">
        <v>123</v>
      </c>
      <c r="B5" s="27">
        <f>Variants!$C$5</f>
        <v>117499</v>
      </c>
      <c r="C5" s="26">
        <v>90</v>
      </c>
      <c r="D5" s="26" t="s">
        <v>954</v>
      </c>
      <c r="E5" s="28" t="s">
        <v>955</v>
      </c>
      <c r="F5" s="26" t="s">
        <v>956</v>
      </c>
      <c r="G5" s="27">
        <f>B5*(1+Assumptions!$B$8+Assumptions!$B$9)+Assumptions!$B$11</f>
        <v>134861.36499999999</v>
      </c>
      <c r="H5" s="27">
        <f>(Assumptions!$B$7/C5)*Assumptions!$B$6</f>
        <v>6933.333333333333</v>
      </c>
      <c r="I5" s="27">
        <f>Assumptions!$B$12</f>
        <v>2200</v>
      </c>
      <c r="J5" s="27">
        <f>B5*Assumptions!$B$10</f>
        <v>1762.4849999999999</v>
      </c>
      <c r="K5" s="27">
        <f t="shared" ref="K5:K24" si="0">H5+I5+J5</f>
        <v>10895.818333333333</v>
      </c>
      <c r="L5" s="27">
        <f t="shared" ref="L5:L24" si="1">G5+3*K5</f>
        <v>167548.81999999998</v>
      </c>
      <c r="M5" s="27">
        <f>B5*Assumptions!$B$15</f>
        <v>64624.450000000004</v>
      </c>
      <c r="N5" s="27">
        <f t="shared" ref="N5:N24" si="2">L5-M5</f>
        <v>102924.36999999997</v>
      </c>
      <c r="O5" s="27">
        <f t="shared" ref="O5:O24" si="3">G5+5*K5</f>
        <v>189340.45666666667</v>
      </c>
      <c r="P5" s="27">
        <f>B5*Assumptions!$B$16</f>
        <v>46999.600000000006</v>
      </c>
      <c r="Q5" s="27">
        <f t="shared" ref="Q5:Q24" si="4">O5-P5</f>
        <v>142340.85666666666</v>
      </c>
    </row>
    <row r="6" spans="1:17" ht="30" customHeight="1" x14ac:dyDescent="0.45">
      <c r="A6" s="26" t="s">
        <v>135</v>
      </c>
      <c r="B6" s="27">
        <f>Variants!$C$6</f>
        <v>92270</v>
      </c>
      <c r="C6" s="26">
        <v>45</v>
      </c>
      <c r="D6" s="26" t="s">
        <v>957</v>
      </c>
      <c r="E6" s="28" t="s">
        <v>958</v>
      </c>
      <c r="F6" s="26" t="s">
        <v>956</v>
      </c>
      <c r="G6" s="27">
        <f>B6*(1+Assumptions!$B$8+Assumptions!$B$9)+Assumptions!$B$11</f>
        <v>106226.45</v>
      </c>
      <c r="H6" s="27">
        <f>(Assumptions!$B$7/C6)*Assumptions!$B$5</f>
        <v>18311.111111111109</v>
      </c>
      <c r="I6" s="27">
        <f>Assumptions!$B$12</f>
        <v>2200</v>
      </c>
      <c r="J6" s="27">
        <f>B6*Assumptions!$B$10</f>
        <v>1384.05</v>
      </c>
      <c r="K6" s="27">
        <f t="shared" si="0"/>
        <v>21895.161111111109</v>
      </c>
      <c r="L6" s="27">
        <f t="shared" si="1"/>
        <v>171911.93333333332</v>
      </c>
      <c r="M6" s="27">
        <f>B6*Assumptions!$B$15</f>
        <v>50748.500000000007</v>
      </c>
      <c r="N6" s="27">
        <f t="shared" si="2"/>
        <v>121163.43333333332</v>
      </c>
      <c r="O6" s="27">
        <f t="shared" si="3"/>
        <v>215702.25555555554</v>
      </c>
      <c r="P6" s="27">
        <f>B6*Assumptions!$B$16</f>
        <v>36908</v>
      </c>
      <c r="Q6" s="27">
        <f t="shared" si="4"/>
        <v>178794.25555555554</v>
      </c>
    </row>
    <row r="7" spans="1:17" ht="30" customHeight="1" x14ac:dyDescent="0.45">
      <c r="A7" s="26" t="s">
        <v>143</v>
      </c>
      <c r="B7" s="27">
        <f>Variants!$C$7</f>
        <v>122106</v>
      </c>
      <c r="C7" s="26">
        <v>47</v>
      </c>
      <c r="D7" s="26" t="s">
        <v>957</v>
      </c>
      <c r="E7" s="28" t="s">
        <v>959</v>
      </c>
      <c r="F7" s="26" t="s">
        <v>956</v>
      </c>
      <c r="G7" s="27">
        <f>B7*(1+Assumptions!$B$8+Assumptions!$B$9)+Assumptions!$B$11</f>
        <v>140090.31</v>
      </c>
      <c r="H7" s="27">
        <f>(Assumptions!$B$7/C7)*Assumptions!$B$5</f>
        <v>17531.91489361702</v>
      </c>
      <c r="I7" s="27">
        <f>Assumptions!$B$12</f>
        <v>2200</v>
      </c>
      <c r="J7" s="27">
        <f>B7*Assumptions!$B$10</f>
        <v>1831.59</v>
      </c>
      <c r="K7" s="27">
        <f t="shared" si="0"/>
        <v>21563.504893617021</v>
      </c>
      <c r="L7" s="27">
        <f t="shared" si="1"/>
        <v>204780.82468085107</v>
      </c>
      <c r="M7" s="27">
        <f>B7*Assumptions!$B$15</f>
        <v>67158.3</v>
      </c>
      <c r="N7" s="27">
        <f t="shared" si="2"/>
        <v>137622.52468085109</v>
      </c>
      <c r="O7" s="27">
        <f t="shared" si="3"/>
        <v>247907.83446808509</v>
      </c>
      <c r="P7" s="27">
        <f>B7*Assumptions!$B$16</f>
        <v>48842.400000000001</v>
      </c>
      <c r="Q7" s="27">
        <f t="shared" si="4"/>
        <v>199065.43446808509</v>
      </c>
    </row>
    <row r="8" spans="1:17" ht="30" customHeight="1" x14ac:dyDescent="0.45">
      <c r="A8" s="26" t="s">
        <v>151</v>
      </c>
      <c r="B8" s="27">
        <f>Variants!$C$8</f>
        <v>142202</v>
      </c>
      <c r="C8" s="26">
        <v>38</v>
      </c>
      <c r="D8" s="26" t="s">
        <v>957</v>
      </c>
      <c r="E8" s="28" t="s">
        <v>960</v>
      </c>
      <c r="F8" s="26" t="s">
        <v>961</v>
      </c>
      <c r="G8" s="27">
        <f>B8*(1+Assumptions!$B$8+Assumptions!$B$9)+Assumptions!$B$11</f>
        <v>162899.26999999999</v>
      </c>
      <c r="H8" s="27">
        <f>(Assumptions!$B$7/C8)*Assumptions!$B$5</f>
        <v>21684.210526315786</v>
      </c>
      <c r="I8" s="27">
        <f>Assumptions!$B$13</f>
        <v>3200</v>
      </c>
      <c r="J8" s="27">
        <f>B8*Assumptions!$B$10</f>
        <v>2133.0299999999997</v>
      </c>
      <c r="K8" s="27">
        <f t="shared" si="0"/>
        <v>27017.240526315785</v>
      </c>
      <c r="L8" s="27">
        <f t="shared" si="1"/>
        <v>243950.99157894735</v>
      </c>
      <c r="M8" s="27">
        <f>B8*Assumptions!$B$15</f>
        <v>78211.100000000006</v>
      </c>
      <c r="N8" s="27">
        <f t="shared" si="2"/>
        <v>165739.89157894734</v>
      </c>
      <c r="O8" s="27">
        <f t="shared" si="3"/>
        <v>297985.47263157892</v>
      </c>
      <c r="P8" s="27">
        <f>B8*Assumptions!$B$16</f>
        <v>56880.800000000003</v>
      </c>
      <c r="Q8" s="27">
        <f t="shared" si="4"/>
        <v>241104.67263157893</v>
      </c>
    </row>
    <row r="9" spans="1:17" ht="30" customHeight="1" x14ac:dyDescent="0.45">
      <c r="A9" s="26" t="s">
        <v>159</v>
      </c>
      <c r="B9" s="27">
        <f>Variants!$C$9</f>
        <v>99622</v>
      </c>
      <c r="C9" s="26">
        <v>45</v>
      </c>
      <c r="D9" s="26" t="s">
        <v>957</v>
      </c>
      <c r="E9" s="28" t="s">
        <v>962</v>
      </c>
      <c r="F9" s="26" t="s">
        <v>956</v>
      </c>
      <c r="G9" s="27">
        <f>B9*(1+Assumptions!$B$8+Assumptions!$B$9)+Assumptions!$B$11</f>
        <v>114570.97</v>
      </c>
      <c r="H9" s="27">
        <f>(Assumptions!$B$7/C9)*Assumptions!$B$5</f>
        <v>18311.111111111109</v>
      </c>
      <c r="I9" s="27">
        <f>Assumptions!$B$12</f>
        <v>2200</v>
      </c>
      <c r="J9" s="27">
        <f>B9*Assumptions!$B$10</f>
        <v>1494.33</v>
      </c>
      <c r="K9" s="27">
        <f t="shared" si="0"/>
        <v>22005.441111111111</v>
      </c>
      <c r="L9" s="27">
        <f t="shared" si="1"/>
        <v>180587.29333333333</v>
      </c>
      <c r="M9" s="27">
        <f>B9*Assumptions!$B$15</f>
        <v>54792.100000000006</v>
      </c>
      <c r="N9" s="27">
        <f t="shared" si="2"/>
        <v>125795.19333333333</v>
      </c>
      <c r="O9" s="27">
        <f t="shared" si="3"/>
        <v>224598.17555555556</v>
      </c>
      <c r="P9" s="27">
        <f>B9*Assumptions!$B$16</f>
        <v>39848.800000000003</v>
      </c>
      <c r="Q9" s="27">
        <f t="shared" si="4"/>
        <v>184749.37555555557</v>
      </c>
    </row>
    <row r="10" spans="1:17" ht="30" customHeight="1" x14ac:dyDescent="0.45">
      <c r="A10" s="26" t="s">
        <v>167</v>
      </c>
      <c r="B10" s="27">
        <f>Variants!$C$10</f>
        <v>126301</v>
      </c>
      <c r="C10" s="26">
        <v>44</v>
      </c>
      <c r="D10" s="26" t="s">
        <v>957</v>
      </c>
      <c r="E10" s="28" t="s">
        <v>959</v>
      </c>
      <c r="F10" s="26" t="s">
        <v>956</v>
      </c>
      <c r="G10" s="27">
        <f>B10*(1+Assumptions!$B$8+Assumptions!$B$9)+Assumptions!$B$11</f>
        <v>144851.63500000001</v>
      </c>
      <c r="H10" s="27">
        <f>(Assumptions!$B$7/C10)*Assumptions!$B$5</f>
        <v>18727.272727272728</v>
      </c>
      <c r="I10" s="27">
        <f>Assumptions!$B$12</f>
        <v>2200</v>
      </c>
      <c r="J10" s="27">
        <f>B10*Assumptions!$B$10</f>
        <v>1894.5149999999999</v>
      </c>
      <c r="K10" s="27">
        <f t="shared" si="0"/>
        <v>22821.787727272727</v>
      </c>
      <c r="L10" s="27">
        <f t="shared" si="1"/>
        <v>213316.9981818182</v>
      </c>
      <c r="M10" s="27">
        <f>B10*Assumptions!$B$15</f>
        <v>69465.55</v>
      </c>
      <c r="N10" s="27">
        <f t="shared" si="2"/>
        <v>143851.44818181818</v>
      </c>
      <c r="O10" s="27">
        <f t="shared" si="3"/>
        <v>258960.57363636364</v>
      </c>
      <c r="P10" s="27">
        <f>B10*Assumptions!$B$16</f>
        <v>50520.4</v>
      </c>
      <c r="Q10" s="27">
        <f t="shared" si="4"/>
        <v>208440.17363636364</v>
      </c>
    </row>
    <row r="11" spans="1:17" ht="30" customHeight="1" x14ac:dyDescent="0.45">
      <c r="A11" s="26" t="s">
        <v>174</v>
      </c>
      <c r="B11" s="27">
        <f>Variants!$C$11</f>
        <v>138302</v>
      </c>
      <c r="C11" s="26">
        <v>35</v>
      </c>
      <c r="D11" s="26" t="s">
        <v>957</v>
      </c>
      <c r="E11" s="28" t="s">
        <v>963</v>
      </c>
      <c r="F11" s="26" t="s">
        <v>961</v>
      </c>
      <c r="G11" s="27">
        <f>B11*(1+Assumptions!$B$8+Assumptions!$B$9)+Assumptions!$B$11</f>
        <v>158472.76999999999</v>
      </c>
      <c r="H11" s="27">
        <f>(Assumptions!$B$7/C11)*Assumptions!$B$5</f>
        <v>23542.857142857145</v>
      </c>
      <c r="I11" s="27">
        <f>Assumptions!$B$13</f>
        <v>3200</v>
      </c>
      <c r="J11" s="27">
        <f>B11*Assumptions!$B$10</f>
        <v>2074.5299999999997</v>
      </c>
      <c r="K11" s="27">
        <f t="shared" si="0"/>
        <v>28817.387142857144</v>
      </c>
      <c r="L11" s="27">
        <f t="shared" si="1"/>
        <v>244924.93142857141</v>
      </c>
      <c r="M11" s="27">
        <f>B11*Assumptions!$B$15</f>
        <v>76066.100000000006</v>
      </c>
      <c r="N11" s="27">
        <f t="shared" si="2"/>
        <v>168858.8314285714</v>
      </c>
      <c r="O11" s="27">
        <f t="shared" si="3"/>
        <v>302559.70571428572</v>
      </c>
      <c r="P11" s="27">
        <f>B11*Assumptions!$B$16</f>
        <v>55320.800000000003</v>
      </c>
      <c r="Q11" s="27">
        <f t="shared" si="4"/>
        <v>247238.90571428573</v>
      </c>
    </row>
    <row r="12" spans="1:17" ht="30" customHeight="1" x14ac:dyDescent="0.45">
      <c r="A12" s="26" t="s">
        <v>182</v>
      </c>
      <c r="B12" s="27">
        <f>Variants!$C$12</f>
        <v>186015</v>
      </c>
      <c r="C12" s="26">
        <v>28</v>
      </c>
      <c r="D12" s="26" t="s">
        <v>957</v>
      </c>
      <c r="E12" s="28" t="s">
        <v>964</v>
      </c>
      <c r="F12" s="26" t="s">
        <v>961</v>
      </c>
      <c r="G12" s="27">
        <f>B12*(1+Assumptions!$B$8+Assumptions!$B$9)+Assumptions!$B$11</f>
        <v>212627.02499999999</v>
      </c>
      <c r="H12" s="27">
        <f>(Assumptions!$B$7/C12)*Assumptions!$B$5</f>
        <v>29428.571428571431</v>
      </c>
      <c r="I12" s="27">
        <f>Assumptions!$B$13</f>
        <v>3200</v>
      </c>
      <c r="J12" s="27">
        <f>B12*Assumptions!$B$10</f>
        <v>2790.2249999999999</v>
      </c>
      <c r="K12" s="27">
        <f t="shared" si="0"/>
        <v>35418.796428571433</v>
      </c>
      <c r="L12" s="27">
        <f t="shared" si="1"/>
        <v>318883.41428571427</v>
      </c>
      <c r="M12" s="27">
        <f>B12*Assumptions!$B$15</f>
        <v>102308.25000000001</v>
      </c>
      <c r="N12" s="27">
        <f t="shared" si="2"/>
        <v>216575.16428571427</v>
      </c>
      <c r="O12" s="27">
        <f t="shared" si="3"/>
        <v>389721.00714285718</v>
      </c>
      <c r="P12" s="27">
        <f>B12*Assumptions!$B$16</f>
        <v>74406</v>
      </c>
      <c r="Q12" s="27">
        <f t="shared" si="4"/>
        <v>315315.00714285718</v>
      </c>
    </row>
    <row r="13" spans="1:17" ht="30" customHeight="1" x14ac:dyDescent="0.45">
      <c r="A13" s="26" t="s">
        <v>190</v>
      </c>
      <c r="B13" s="27">
        <f>Variants!$C$13</f>
        <v>180528</v>
      </c>
      <c r="C13" s="26">
        <v>36</v>
      </c>
      <c r="D13" s="26" t="s">
        <v>957</v>
      </c>
      <c r="E13" s="28" t="s">
        <v>965</v>
      </c>
      <c r="F13" s="26" t="s">
        <v>961</v>
      </c>
      <c r="G13" s="27">
        <f>B13*(1+Assumptions!$B$8+Assumptions!$B$9)+Assumptions!$B$11</f>
        <v>206399.28</v>
      </c>
      <c r="H13" s="27">
        <f>(Assumptions!$B$7/C13)*Assumptions!$B$5</f>
        <v>22888.888888888891</v>
      </c>
      <c r="I13" s="27">
        <f>Assumptions!$B$13</f>
        <v>3200</v>
      </c>
      <c r="J13" s="27">
        <f>B13*Assumptions!$B$10</f>
        <v>2707.92</v>
      </c>
      <c r="K13" s="27">
        <f t="shared" si="0"/>
        <v>28796.808888888889</v>
      </c>
      <c r="L13" s="27">
        <f t="shared" si="1"/>
        <v>292789.70666666667</v>
      </c>
      <c r="M13" s="27">
        <f>B13*Assumptions!$B$15</f>
        <v>99290.400000000009</v>
      </c>
      <c r="N13" s="27">
        <f t="shared" si="2"/>
        <v>193499.30666666664</v>
      </c>
      <c r="O13" s="27">
        <f t="shared" si="3"/>
        <v>350383.32444444444</v>
      </c>
      <c r="P13" s="27">
        <f>B13*Assumptions!$B$16</f>
        <v>72211.199999999997</v>
      </c>
      <c r="Q13" s="27">
        <f t="shared" si="4"/>
        <v>278172.12444444443</v>
      </c>
    </row>
    <row r="14" spans="1:17" ht="30" customHeight="1" x14ac:dyDescent="0.45">
      <c r="A14" s="26" t="s">
        <v>198</v>
      </c>
      <c r="B14" s="27">
        <f>Variants!$C$14</f>
        <v>104318</v>
      </c>
      <c r="C14" s="26">
        <v>45</v>
      </c>
      <c r="D14" s="26" t="s">
        <v>957</v>
      </c>
      <c r="E14" s="28" t="s">
        <v>966</v>
      </c>
      <c r="F14" s="26" t="s">
        <v>956</v>
      </c>
      <c r="G14" s="27">
        <f>B14*(1+Assumptions!$B$8+Assumptions!$B$9)+Assumptions!$B$11</f>
        <v>119900.93000000001</v>
      </c>
      <c r="H14" s="27">
        <f>(Assumptions!$B$7/C14)*Assumptions!$B$5</f>
        <v>18311.111111111109</v>
      </c>
      <c r="I14" s="27">
        <f>Assumptions!$B$12</f>
        <v>2200</v>
      </c>
      <c r="J14" s="27">
        <f>B14*Assumptions!$B$10</f>
        <v>1564.77</v>
      </c>
      <c r="K14" s="27">
        <f t="shared" si="0"/>
        <v>22075.88111111111</v>
      </c>
      <c r="L14" s="27">
        <f t="shared" si="1"/>
        <v>186128.57333333333</v>
      </c>
      <c r="M14" s="27">
        <f>B14*Assumptions!$B$15</f>
        <v>57374.9</v>
      </c>
      <c r="N14" s="27">
        <f t="shared" si="2"/>
        <v>128753.67333333334</v>
      </c>
      <c r="O14" s="27">
        <f t="shared" si="3"/>
        <v>230280.33555555556</v>
      </c>
      <c r="P14" s="27">
        <f>B14*Assumptions!$B$16</f>
        <v>41727.200000000004</v>
      </c>
      <c r="Q14" s="27">
        <f t="shared" si="4"/>
        <v>188553.13555555555</v>
      </c>
    </row>
    <row r="15" spans="1:17" ht="30" customHeight="1" x14ac:dyDescent="0.45">
      <c r="A15" s="26" t="s">
        <v>205</v>
      </c>
      <c r="B15" s="27">
        <f>Variants!$C$15</f>
        <v>111197</v>
      </c>
      <c r="C15" s="26">
        <v>48</v>
      </c>
      <c r="D15" s="26" t="s">
        <v>957</v>
      </c>
      <c r="E15" s="28" t="s">
        <v>967</v>
      </c>
      <c r="F15" s="26" t="s">
        <v>956</v>
      </c>
      <c r="G15" s="27">
        <f>B15*(1+Assumptions!$B$8+Assumptions!$B$9)+Assumptions!$B$11</f>
        <v>127708.595</v>
      </c>
      <c r="H15" s="27">
        <f>(Assumptions!$B$7/C15)*Assumptions!$B$5</f>
        <v>17166.666666666664</v>
      </c>
      <c r="I15" s="27">
        <f>Assumptions!$B$12</f>
        <v>2200</v>
      </c>
      <c r="J15" s="27">
        <f>B15*Assumptions!$B$10</f>
        <v>1667.9549999999999</v>
      </c>
      <c r="K15" s="27">
        <f t="shared" si="0"/>
        <v>21034.621666666666</v>
      </c>
      <c r="L15" s="27">
        <f t="shared" si="1"/>
        <v>190812.46</v>
      </c>
      <c r="M15" s="27">
        <f>B15*Assumptions!$B$15</f>
        <v>61158.350000000006</v>
      </c>
      <c r="N15" s="27">
        <f t="shared" si="2"/>
        <v>129654.10999999999</v>
      </c>
      <c r="O15" s="27">
        <f t="shared" si="3"/>
        <v>232881.70333333334</v>
      </c>
      <c r="P15" s="27">
        <f>B15*Assumptions!$B$16</f>
        <v>44478.8</v>
      </c>
      <c r="Q15" s="27">
        <f t="shared" si="4"/>
        <v>188402.90333333332</v>
      </c>
    </row>
    <row r="16" spans="1:17" ht="30" customHeight="1" x14ac:dyDescent="0.45">
      <c r="A16" s="26" t="s">
        <v>213</v>
      </c>
      <c r="B16" s="27">
        <f>Variants!$C$16</f>
        <v>122490</v>
      </c>
      <c r="C16" s="26">
        <v>42</v>
      </c>
      <c r="D16" s="26" t="s">
        <v>957</v>
      </c>
      <c r="E16" s="28" t="s">
        <v>968</v>
      </c>
      <c r="F16" s="26" t="s">
        <v>956</v>
      </c>
      <c r="G16" s="27">
        <f>B16*(1+Assumptions!$B$8+Assumptions!$B$9)+Assumptions!$B$11</f>
        <v>140526.15</v>
      </c>
      <c r="H16" s="27">
        <f>(Assumptions!$B$7/C16)*Assumptions!$B$5</f>
        <v>19619.047619047618</v>
      </c>
      <c r="I16" s="27">
        <f>Assumptions!$B$12</f>
        <v>2200</v>
      </c>
      <c r="J16" s="27">
        <f>B16*Assumptions!$B$10</f>
        <v>1837.35</v>
      </c>
      <c r="K16" s="27">
        <f t="shared" si="0"/>
        <v>23656.397619047617</v>
      </c>
      <c r="L16" s="27">
        <f t="shared" si="1"/>
        <v>211495.34285714285</v>
      </c>
      <c r="M16" s="27">
        <f>B16*Assumptions!$B$15</f>
        <v>67369.5</v>
      </c>
      <c r="N16" s="27">
        <f t="shared" si="2"/>
        <v>144125.84285714285</v>
      </c>
      <c r="O16" s="27">
        <f t="shared" si="3"/>
        <v>258808.13809523807</v>
      </c>
      <c r="P16" s="27">
        <f>B16*Assumptions!$B$16</f>
        <v>48996</v>
      </c>
      <c r="Q16" s="27">
        <f t="shared" si="4"/>
        <v>209812.13809523807</v>
      </c>
    </row>
    <row r="17" spans="1:17" ht="30" customHeight="1" x14ac:dyDescent="0.45">
      <c r="A17" s="26" t="s">
        <v>221</v>
      </c>
      <c r="B17" s="27">
        <f>Variants!$C$17</f>
        <v>135582</v>
      </c>
      <c r="C17" s="26">
        <v>43</v>
      </c>
      <c r="D17" s="26" t="s">
        <v>957</v>
      </c>
      <c r="E17" s="28" t="s">
        <v>959</v>
      </c>
      <c r="F17" s="26" t="s">
        <v>961</v>
      </c>
      <c r="G17" s="27">
        <f>B17*(1+Assumptions!$B$8+Assumptions!$B$9)+Assumptions!$B$11</f>
        <v>155385.57</v>
      </c>
      <c r="H17" s="27">
        <f>(Assumptions!$B$7/C17)*Assumptions!$B$5</f>
        <v>19162.790697674416</v>
      </c>
      <c r="I17" s="27">
        <f>Assumptions!$B$13</f>
        <v>3200</v>
      </c>
      <c r="J17" s="27">
        <f>B17*Assumptions!$B$10</f>
        <v>2033.73</v>
      </c>
      <c r="K17" s="27">
        <f t="shared" si="0"/>
        <v>24396.520697674416</v>
      </c>
      <c r="L17" s="27">
        <f t="shared" si="1"/>
        <v>228575.13209302325</v>
      </c>
      <c r="M17" s="27">
        <f>B17*Assumptions!$B$15</f>
        <v>74570.100000000006</v>
      </c>
      <c r="N17" s="27">
        <f t="shared" si="2"/>
        <v>154005.03209302324</v>
      </c>
      <c r="O17" s="27">
        <f t="shared" si="3"/>
        <v>277368.17348837212</v>
      </c>
      <c r="P17" s="27">
        <f>B17*Assumptions!$B$16</f>
        <v>54232.800000000003</v>
      </c>
      <c r="Q17" s="27">
        <f t="shared" si="4"/>
        <v>223135.37348837213</v>
      </c>
    </row>
    <row r="18" spans="1:17" ht="30" customHeight="1" x14ac:dyDescent="0.45">
      <c r="A18" s="26" t="s">
        <v>230</v>
      </c>
      <c r="B18" s="27">
        <f>Variants!$C$18</f>
        <v>186835</v>
      </c>
      <c r="C18" s="26">
        <v>32</v>
      </c>
      <c r="D18" s="26" t="s">
        <v>957</v>
      </c>
      <c r="E18" s="28" t="s">
        <v>959</v>
      </c>
      <c r="F18" s="26" t="s">
        <v>961</v>
      </c>
      <c r="G18" s="27">
        <f>B18*(1+Assumptions!$B$8+Assumptions!$B$9)+Assumptions!$B$11</f>
        <v>213557.72500000001</v>
      </c>
      <c r="H18" s="27">
        <f>(Assumptions!$B$7/C18)*Assumptions!$B$5</f>
        <v>25750</v>
      </c>
      <c r="I18" s="27">
        <f>Assumptions!$B$13</f>
        <v>3200</v>
      </c>
      <c r="J18" s="27">
        <f>B18*Assumptions!$B$10</f>
        <v>2802.5250000000001</v>
      </c>
      <c r="K18" s="27">
        <f t="shared" si="0"/>
        <v>31752.525000000001</v>
      </c>
      <c r="L18" s="27">
        <f t="shared" si="1"/>
        <v>308815.30000000005</v>
      </c>
      <c r="M18" s="27">
        <f>B18*Assumptions!$B$15</f>
        <v>102759.25000000001</v>
      </c>
      <c r="N18" s="27">
        <f t="shared" si="2"/>
        <v>206056.05000000005</v>
      </c>
      <c r="O18" s="27">
        <f t="shared" si="3"/>
        <v>372320.35</v>
      </c>
      <c r="P18" s="27">
        <f>B18*Assumptions!$B$16</f>
        <v>74734</v>
      </c>
      <c r="Q18" s="27">
        <f t="shared" si="4"/>
        <v>297586.34999999998</v>
      </c>
    </row>
    <row r="19" spans="1:17" ht="30" customHeight="1" x14ac:dyDescent="0.45">
      <c r="A19" s="26" t="s">
        <v>238</v>
      </c>
      <c r="B19" s="27">
        <f>Variants!$C$19</f>
        <v>208270</v>
      </c>
      <c r="C19" s="26">
        <v>26</v>
      </c>
      <c r="D19" s="26" t="s">
        <v>957</v>
      </c>
      <c r="E19" s="28" t="s">
        <v>969</v>
      </c>
      <c r="F19" s="26" t="s">
        <v>961</v>
      </c>
      <c r="G19" s="27">
        <f>B19*(1+Assumptions!$B$8+Assumptions!$B$9)+Assumptions!$B$11</f>
        <v>237886.45</v>
      </c>
      <c r="H19" s="27">
        <f>(Assumptions!$B$7/C19)*Assumptions!$B$5</f>
        <v>31692.307692307691</v>
      </c>
      <c r="I19" s="27">
        <f>Assumptions!$B$13</f>
        <v>3200</v>
      </c>
      <c r="J19" s="27">
        <f>B19*Assumptions!$B$10</f>
        <v>3124.0499999999997</v>
      </c>
      <c r="K19" s="27">
        <f t="shared" si="0"/>
        <v>38016.357692307691</v>
      </c>
      <c r="L19" s="27">
        <f t="shared" si="1"/>
        <v>351935.5230769231</v>
      </c>
      <c r="M19" s="27">
        <f>B19*Assumptions!$B$15</f>
        <v>114548.50000000001</v>
      </c>
      <c r="N19" s="27">
        <f t="shared" si="2"/>
        <v>237387.0230769231</v>
      </c>
      <c r="O19" s="27">
        <f t="shared" si="3"/>
        <v>427968.23846153845</v>
      </c>
      <c r="P19" s="27">
        <f>B19*Assumptions!$B$16</f>
        <v>83308</v>
      </c>
      <c r="Q19" s="27">
        <f t="shared" si="4"/>
        <v>344660.23846153845</v>
      </c>
    </row>
    <row r="20" spans="1:17" ht="30" customHeight="1" x14ac:dyDescent="0.45">
      <c r="A20" s="26" t="s">
        <v>247</v>
      </c>
      <c r="B20" s="27">
        <f>Variants!$C$20</f>
        <v>133617</v>
      </c>
      <c r="C20" s="26">
        <v>39</v>
      </c>
      <c r="D20" s="26" t="s">
        <v>957</v>
      </c>
      <c r="E20" s="28" t="s">
        <v>970</v>
      </c>
      <c r="F20" s="26" t="s">
        <v>961</v>
      </c>
      <c r="G20" s="27">
        <f>B20*(1+Assumptions!$B$8+Assumptions!$B$9)+Assumptions!$B$11</f>
        <v>153155.29500000001</v>
      </c>
      <c r="H20" s="27">
        <f>(Assumptions!$B$7/C20)*Assumptions!$B$5</f>
        <v>21128.205128205129</v>
      </c>
      <c r="I20" s="27">
        <f>Assumptions!$B$13</f>
        <v>3200</v>
      </c>
      <c r="J20" s="27">
        <f>B20*Assumptions!$B$10</f>
        <v>2004.2549999999999</v>
      </c>
      <c r="K20" s="27">
        <f t="shared" si="0"/>
        <v>26332.46012820513</v>
      </c>
      <c r="L20" s="27">
        <f t="shared" si="1"/>
        <v>232152.6753846154</v>
      </c>
      <c r="M20" s="27">
        <f>B20*Assumptions!$B$15</f>
        <v>73489.350000000006</v>
      </c>
      <c r="N20" s="27">
        <f t="shared" si="2"/>
        <v>158663.3253846154</v>
      </c>
      <c r="O20" s="27">
        <f t="shared" si="3"/>
        <v>284817.59564102569</v>
      </c>
      <c r="P20" s="27">
        <f>B20*Assumptions!$B$16</f>
        <v>53446.8</v>
      </c>
      <c r="Q20" s="27">
        <f t="shared" si="4"/>
        <v>231370.7956410257</v>
      </c>
    </row>
    <row r="21" spans="1:17" ht="30" customHeight="1" x14ac:dyDescent="0.45">
      <c r="A21" s="26" t="s">
        <v>255</v>
      </c>
      <c r="B21" s="27">
        <f>Variants!$C$21</f>
        <v>133617</v>
      </c>
      <c r="C21" s="26">
        <v>39</v>
      </c>
      <c r="D21" s="26" t="s">
        <v>957</v>
      </c>
      <c r="E21" s="28" t="s">
        <v>971</v>
      </c>
      <c r="F21" s="26" t="s">
        <v>961</v>
      </c>
      <c r="G21" s="27">
        <f>B21*(1+Assumptions!$B$8+Assumptions!$B$9)+Assumptions!$B$11</f>
        <v>153155.29500000001</v>
      </c>
      <c r="H21" s="27">
        <f>(Assumptions!$B$7/C21)*Assumptions!$B$5</f>
        <v>21128.205128205129</v>
      </c>
      <c r="I21" s="27">
        <f>Assumptions!$B$13</f>
        <v>3200</v>
      </c>
      <c r="J21" s="27">
        <f>B21*Assumptions!$B$10</f>
        <v>2004.2549999999999</v>
      </c>
      <c r="K21" s="27">
        <f t="shared" si="0"/>
        <v>26332.46012820513</v>
      </c>
      <c r="L21" s="27">
        <f t="shared" si="1"/>
        <v>232152.6753846154</v>
      </c>
      <c r="M21" s="27">
        <f>B21*Assumptions!$B$15</f>
        <v>73489.350000000006</v>
      </c>
      <c r="N21" s="27">
        <f t="shared" si="2"/>
        <v>158663.3253846154</v>
      </c>
      <c r="O21" s="27">
        <f t="shared" si="3"/>
        <v>284817.59564102569</v>
      </c>
      <c r="P21" s="27">
        <f>B21*Assumptions!$B$16</f>
        <v>53446.8</v>
      </c>
      <c r="Q21" s="27">
        <f t="shared" si="4"/>
        <v>231370.7956410257</v>
      </c>
    </row>
    <row r="22" spans="1:17" ht="30" customHeight="1" x14ac:dyDescent="0.45">
      <c r="A22" s="26" t="s">
        <v>263</v>
      </c>
      <c r="B22" s="27">
        <f>Variants!$C$22</f>
        <v>72942</v>
      </c>
      <c r="C22" s="26">
        <v>75</v>
      </c>
      <c r="D22" s="26" t="s">
        <v>957</v>
      </c>
      <c r="E22" s="28" t="s">
        <v>972</v>
      </c>
      <c r="F22" s="26" t="s">
        <v>956</v>
      </c>
      <c r="G22" s="27">
        <f>B22*(1+Assumptions!$B$8+Assumptions!$B$9)+Assumptions!$B$11</f>
        <v>84289.17</v>
      </c>
      <c r="H22" s="27">
        <f>(Assumptions!$B$7/C22)*Assumptions!$B$5</f>
        <v>10986.666666666668</v>
      </c>
      <c r="I22" s="27">
        <f>Assumptions!$B$12</f>
        <v>2200</v>
      </c>
      <c r="J22" s="27">
        <f>B22*Assumptions!$B$10</f>
        <v>1094.1299999999999</v>
      </c>
      <c r="K22" s="27">
        <f t="shared" si="0"/>
        <v>14280.796666666667</v>
      </c>
      <c r="L22" s="27">
        <f t="shared" si="1"/>
        <v>127131.56</v>
      </c>
      <c r="M22" s="27">
        <f>B22*Assumptions!$B$15</f>
        <v>40118.100000000006</v>
      </c>
      <c r="N22" s="27">
        <f t="shared" si="2"/>
        <v>87013.459999999992</v>
      </c>
      <c r="O22" s="27">
        <f t="shared" si="3"/>
        <v>155693.15333333332</v>
      </c>
      <c r="P22" s="27">
        <f>B22*Assumptions!$B$16</f>
        <v>29176.800000000003</v>
      </c>
      <c r="Q22" s="27">
        <f t="shared" si="4"/>
        <v>126516.35333333332</v>
      </c>
    </row>
    <row r="23" spans="1:17" ht="30" customHeight="1" x14ac:dyDescent="0.45">
      <c r="A23" s="26" t="s">
        <v>271</v>
      </c>
      <c r="B23" s="27">
        <f>Variants!$C$23</f>
        <v>75797</v>
      </c>
      <c r="C23" s="26">
        <v>65</v>
      </c>
      <c r="D23" s="26" t="s">
        <v>957</v>
      </c>
      <c r="E23" s="28" t="s">
        <v>973</v>
      </c>
      <c r="F23" s="26" t="s">
        <v>956</v>
      </c>
      <c r="G23" s="27">
        <f>B23*(1+Assumptions!$B$8+Assumptions!$B$9)+Assumptions!$B$11</f>
        <v>87529.595000000001</v>
      </c>
      <c r="H23" s="27">
        <f>(Assumptions!$B$7/C23)*Assumptions!$B$5</f>
        <v>12676.923076923078</v>
      </c>
      <c r="I23" s="27">
        <f>Assumptions!$B$12</f>
        <v>2200</v>
      </c>
      <c r="J23" s="27">
        <f>B23*Assumptions!$B$10</f>
        <v>1136.9549999999999</v>
      </c>
      <c r="K23" s="27">
        <f t="shared" si="0"/>
        <v>16013.878076923078</v>
      </c>
      <c r="L23" s="27">
        <f t="shared" si="1"/>
        <v>135571.22923076924</v>
      </c>
      <c r="M23" s="27">
        <f>B23*Assumptions!$B$15</f>
        <v>41688.350000000006</v>
      </c>
      <c r="N23" s="27">
        <f t="shared" si="2"/>
        <v>93882.879230769235</v>
      </c>
      <c r="O23" s="27">
        <f t="shared" si="3"/>
        <v>167598.98538461537</v>
      </c>
      <c r="P23" s="27">
        <f>B23*Assumptions!$B$16</f>
        <v>30318.800000000003</v>
      </c>
      <c r="Q23" s="27">
        <f t="shared" si="4"/>
        <v>137280.18538461538</v>
      </c>
    </row>
    <row r="24" spans="1:17" ht="30" customHeight="1" x14ac:dyDescent="0.45">
      <c r="A24" s="26" t="s">
        <v>280</v>
      </c>
      <c r="B24" s="27">
        <f>Variants!$C$24</f>
        <v>74930</v>
      </c>
      <c r="C24" s="26">
        <v>72</v>
      </c>
      <c r="D24" s="26" t="s">
        <v>957</v>
      </c>
      <c r="E24" s="28" t="s">
        <v>974</v>
      </c>
      <c r="F24" s="26" t="s">
        <v>956</v>
      </c>
      <c r="G24" s="27">
        <f>B24*(1+Assumptions!$B$8+Assumptions!$B$9)+Assumptions!$B$11</f>
        <v>86545.55</v>
      </c>
      <c r="H24" s="27">
        <f>(Assumptions!$B$7/C24)*Assumptions!$B$5</f>
        <v>11444.444444444445</v>
      </c>
      <c r="I24" s="27">
        <f>Assumptions!$B$12</f>
        <v>2200</v>
      </c>
      <c r="J24" s="27">
        <f>B24*Assumptions!$B$10</f>
        <v>1123.95</v>
      </c>
      <c r="K24" s="27">
        <f t="shared" si="0"/>
        <v>14768.394444444446</v>
      </c>
      <c r="L24" s="27">
        <f t="shared" si="1"/>
        <v>130850.73333333334</v>
      </c>
      <c r="M24" s="27">
        <f>B24*Assumptions!$B$15</f>
        <v>41211.5</v>
      </c>
      <c r="N24" s="27">
        <f t="shared" si="2"/>
        <v>89639.233333333337</v>
      </c>
      <c r="O24" s="27">
        <f t="shared" si="3"/>
        <v>160387.52222222224</v>
      </c>
      <c r="P24" s="27">
        <f>B24*Assumptions!$B$16</f>
        <v>29972</v>
      </c>
      <c r="Q24" s="27">
        <f t="shared" si="4"/>
        <v>130415.52222222224</v>
      </c>
    </row>
    <row r="27" spans="1:17" x14ac:dyDescent="0.45">
      <c r="A27" s="5" t="s">
        <v>975</v>
      </c>
    </row>
    <row r="28" spans="1:17" x14ac:dyDescent="0.45">
      <c r="A28" s="12" t="s">
        <v>976</v>
      </c>
      <c r="B28" s="29">
        <f>B5</f>
        <v>117499</v>
      </c>
    </row>
    <row r="29" spans="1:17" x14ac:dyDescent="0.45">
      <c r="A29" s="12" t="s">
        <v>977</v>
      </c>
      <c r="B29" s="29">
        <f>B28*Assumptions!$B$17</f>
        <v>23499.800000000003</v>
      </c>
    </row>
    <row r="30" spans="1:17" x14ac:dyDescent="0.45">
      <c r="A30" s="12" t="s">
        <v>978</v>
      </c>
      <c r="B30" s="29">
        <f>B28-B29</f>
        <v>93999.2</v>
      </c>
    </row>
    <row r="31" spans="1:17" x14ac:dyDescent="0.45">
      <c r="A31" s="12" t="s">
        <v>979</v>
      </c>
      <c r="B31" s="30">
        <f>Assumptions!$B$18</f>
        <v>36</v>
      </c>
    </row>
    <row r="32" spans="1:17" x14ac:dyDescent="0.45">
      <c r="A32" s="12" t="s">
        <v>980</v>
      </c>
      <c r="B32" s="31">
        <f>Assumptions!$B$19</f>
        <v>0.11</v>
      </c>
    </row>
    <row r="33" spans="1:8" x14ac:dyDescent="0.45">
      <c r="A33" s="12" t="s">
        <v>981</v>
      </c>
      <c r="B33" s="29">
        <f>B29*Assumptions!$B$19*(B31/12)</f>
        <v>7754.9340000000011</v>
      </c>
    </row>
    <row r="34" spans="1:8" x14ac:dyDescent="0.45">
      <c r="A34" s="12" t="s">
        <v>982</v>
      </c>
      <c r="B34" s="29">
        <f>B30+B33</f>
        <v>101754.13399999999</v>
      </c>
    </row>
    <row r="35" spans="1:8" x14ac:dyDescent="0.45">
      <c r="A35" s="5" t="s">
        <v>983</v>
      </c>
      <c r="B35" s="29">
        <f>B34/B31</f>
        <v>2826.5037222222218</v>
      </c>
    </row>
    <row r="37" spans="1:8" ht="23.85" customHeight="1" x14ac:dyDescent="0.45">
      <c r="A37" s="2" t="s">
        <v>984</v>
      </c>
      <c r="B37" s="2"/>
      <c r="C37" s="2"/>
      <c r="D37" s="2"/>
      <c r="E37" s="2"/>
      <c r="F37" s="2"/>
    </row>
    <row r="39" spans="1:8" x14ac:dyDescent="0.45">
      <c r="A39" s="5" t="s">
        <v>985</v>
      </c>
    </row>
    <row r="40" spans="1:8" ht="15" customHeight="1" x14ac:dyDescent="0.45">
      <c r="A40" s="1" t="s">
        <v>986</v>
      </c>
      <c r="B40" s="1"/>
      <c r="C40" s="1"/>
      <c r="D40" s="1"/>
      <c r="E40" s="1"/>
      <c r="F40" s="1"/>
      <c r="G40" s="1"/>
      <c r="H40" s="1"/>
    </row>
    <row r="41" spans="1:8" x14ac:dyDescent="0.45">
      <c r="A41" s="1"/>
      <c r="B41" s="1"/>
      <c r="C41" s="1"/>
      <c r="D41" s="1"/>
      <c r="E41" s="1"/>
      <c r="F41" s="1"/>
      <c r="G41" s="1"/>
      <c r="H41" s="1"/>
    </row>
    <row r="42" spans="1:8" x14ac:dyDescent="0.45">
      <c r="A42" s="1"/>
      <c r="B42" s="1"/>
      <c r="C42" s="1"/>
      <c r="D42" s="1"/>
      <c r="E42" s="1"/>
      <c r="F42" s="1"/>
      <c r="G42" s="1"/>
      <c r="H42" s="1"/>
    </row>
  </sheetData>
  <mergeCells count="4">
    <mergeCell ref="A1:Q1"/>
    <mergeCell ref="A2:Q2"/>
    <mergeCell ref="A37:F37"/>
    <mergeCell ref="A40:H4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26" customWidth="1"/>
    <col min="2" max="2" width="40" customWidth="1"/>
    <col min="3" max="3" width="20" customWidth="1"/>
    <col min="4" max="4" width="40" customWidth="1"/>
  </cols>
  <sheetData>
    <row r="1" spans="1:4" ht="25.5" customHeight="1" x14ac:dyDescent="0.45">
      <c r="A1" s="4" t="s">
        <v>987</v>
      </c>
      <c r="B1" s="4"/>
      <c r="C1" s="4"/>
      <c r="D1" s="4"/>
    </row>
    <row r="2" spans="1:4" ht="15.75" customHeight="1" x14ac:dyDescent="0.45">
      <c r="A2" s="3" t="s">
        <v>988</v>
      </c>
      <c r="B2" s="3"/>
      <c r="C2" s="3"/>
      <c r="D2" s="3"/>
    </row>
    <row r="4" spans="1:4" x14ac:dyDescent="0.45">
      <c r="A4" s="14" t="s">
        <v>41</v>
      </c>
      <c r="B4" s="14" t="s">
        <v>989</v>
      </c>
      <c r="C4" s="14" t="s">
        <v>990</v>
      </c>
      <c r="D4" s="14" t="s">
        <v>991</v>
      </c>
    </row>
    <row r="5" spans="1:4" ht="25.5" x14ac:dyDescent="0.45">
      <c r="A5" s="8" t="s">
        <v>992</v>
      </c>
      <c r="B5" s="8" t="s">
        <v>993</v>
      </c>
      <c r="C5" s="8" t="s">
        <v>994</v>
      </c>
      <c r="D5" s="8" t="s">
        <v>995</v>
      </c>
    </row>
    <row r="6" spans="1:4" x14ac:dyDescent="0.45">
      <c r="A6" s="8" t="s">
        <v>996</v>
      </c>
      <c r="B6" s="8" t="s">
        <v>997</v>
      </c>
      <c r="C6" s="8" t="s">
        <v>994</v>
      </c>
      <c r="D6" s="8" t="s">
        <v>998</v>
      </c>
    </row>
    <row r="7" spans="1:4" x14ac:dyDescent="0.45">
      <c r="A7" s="8" t="s">
        <v>999</v>
      </c>
      <c r="B7" s="8" t="s">
        <v>1000</v>
      </c>
      <c r="C7" s="8" t="s">
        <v>1001</v>
      </c>
      <c r="D7" s="8" t="s">
        <v>1002</v>
      </c>
    </row>
    <row r="8" spans="1:4" x14ac:dyDescent="0.45">
      <c r="A8" s="8" t="s">
        <v>1003</v>
      </c>
      <c r="B8" s="8" t="s">
        <v>1004</v>
      </c>
      <c r="C8" s="8" t="s">
        <v>1001</v>
      </c>
      <c r="D8" s="8" t="s">
        <v>1005</v>
      </c>
    </row>
    <row r="9" spans="1:4" x14ac:dyDescent="0.45">
      <c r="A9" s="8" t="s">
        <v>1006</v>
      </c>
      <c r="B9" s="8" t="s">
        <v>1007</v>
      </c>
      <c r="C9" s="8" t="s">
        <v>1008</v>
      </c>
      <c r="D9" s="8" t="s">
        <v>1009</v>
      </c>
    </row>
    <row r="10" spans="1:4" x14ac:dyDescent="0.45">
      <c r="A10" s="8" t="s">
        <v>1010</v>
      </c>
      <c r="B10" s="8" t="s">
        <v>1011</v>
      </c>
      <c r="C10" s="8" t="s">
        <v>1012</v>
      </c>
      <c r="D10" s="8" t="s">
        <v>1013</v>
      </c>
    </row>
    <row r="11" spans="1:4" x14ac:dyDescent="0.45">
      <c r="A11" s="8" t="s">
        <v>1014</v>
      </c>
      <c r="B11" s="8" t="s">
        <v>1015</v>
      </c>
      <c r="C11" s="8" t="s">
        <v>1016</v>
      </c>
      <c r="D11" s="8" t="s">
        <v>1017</v>
      </c>
    </row>
    <row r="12" spans="1:4" ht="38.25" x14ac:dyDescent="0.45">
      <c r="A12" s="8" t="s">
        <v>1018</v>
      </c>
      <c r="B12" s="8" t="s">
        <v>1019</v>
      </c>
      <c r="C12" s="8" t="s">
        <v>1020</v>
      </c>
      <c r="D12" s="8" t="s">
        <v>1021</v>
      </c>
    </row>
    <row r="13" spans="1:4" ht="25.5" x14ac:dyDescent="0.45">
      <c r="A13" s="8" t="s">
        <v>1022</v>
      </c>
      <c r="B13" s="8" t="s">
        <v>1023</v>
      </c>
      <c r="C13" s="8" t="s">
        <v>1024</v>
      </c>
      <c r="D13" s="8" t="s">
        <v>1025</v>
      </c>
    </row>
    <row r="14" spans="1:4" x14ac:dyDescent="0.45">
      <c r="A14" s="8" t="s">
        <v>1026</v>
      </c>
      <c r="B14" s="8" t="s">
        <v>1027</v>
      </c>
      <c r="C14" s="8" t="s">
        <v>1028</v>
      </c>
      <c r="D14" s="8" t="s">
        <v>1029</v>
      </c>
    </row>
    <row r="15" spans="1:4" ht="25.5" x14ac:dyDescent="0.45">
      <c r="A15" s="8" t="s">
        <v>1030</v>
      </c>
      <c r="B15" s="8" t="s">
        <v>1031</v>
      </c>
      <c r="C15" s="8" t="s">
        <v>1016</v>
      </c>
      <c r="D15" s="8" t="s">
        <v>1032</v>
      </c>
    </row>
    <row r="16" spans="1:4" ht="25.5" x14ac:dyDescent="0.45">
      <c r="A16" s="8" t="s">
        <v>1033</v>
      </c>
      <c r="B16" s="8" t="s">
        <v>1034</v>
      </c>
      <c r="C16" s="8" t="s">
        <v>1035</v>
      </c>
      <c r="D16" s="8" t="s">
        <v>1036</v>
      </c>
    </row>
    <row r="17" spans="1:4" x14ac:dyDescent="0.45">
      <c r="A17" s="8" t="s">
        <v>1037</v>
      </c>
      <c r="B17" s="8" t="s">
        <v>1038</v>
      </c>
      <c r="C17" s="8" t="s">
        <v>1039</v>
      </c>
      <c r="D17" s="8" t="s">
        <v>1040</v>
      </c>
    </row>
    <row r="18" spans="1:4" x14ac:dyDescent="0.45">
      <c r="A18" s="8" t="s">
        <v>1041</v>
      </c>
      <c r="B18" s="8" t="s">
        <v>1042</v>
      </c>
      <c r="C18" s="8" t="s">
        <v>1039</v>
      </c>
      <c r="D18" s="8" t="s">
        <v>1043</v>
      </c>
    </row>
    <row r="19" spans="1:4" x14ac:dyDescent="0.45">
      <c r="A19" s="8" t="s">
        <v>1044</v>
      </c>
      <c r="B19" s="8" t="s">
        <v>1045</v>
      </c>
      <c r="C19" s="8" t="s">
        <v>1039</v>
      </c>
      <c r="D19" s="8" t="s">
        <v>1046</v>
      </c>
    </row>
    <row r="20" spans="1:4" x14ac:dyDescent="0.45">
      <c r="A20" s="8" t="s">
        <v>1047</v>
      </c>
      <c r="B20" s="8" t="s">
        <v>1048</v>
      </c>
      <c r="C20" s="8" t="s">
        <v>1039</v>
      </c>
      <c r="D20" s="8" t="s">
        <v>1046</v>
      </c>
    </row>
    <row r="21" spans="1:4" x14ac:dyDescent="0.45">
      <c r="A21" s="8" t="s">
        <v>1049</v>
      </c>
      <c r="B21" s="8" t="s">
        <v>1050</v>
      </c>
      <c r="C21" s="8" t="s">
        <v>1039</v>
      </c>
      <c r="D21" s="8" t="s">
        <v>1043</v>
      </c>
    </row>
    <row r="22" spans="1:4" x14ac:dyDescent="0.45">
      <c r="A22" s="8" t="s">
        <v>1051</v>
      </c>
      <c r="B22" s="8" t="s">
        <v>1052</v>
      </c>
      <c r="C22" s="8" t="s">
        <v>1039</v>
      </c>
      <c r="D22" s="8" t="s">
        <v>1046</v>
      </c>
    </row>
    <row r="23" spans="1:4" x14ac:dyDescent="0.45">
      <c r="A23" s="8" t="s">
        <v>1053</v>
      </c>
      <c r="B23" s="8" t="s">
        <v>1054</v>
      </c>
      <c r="C23" s="8" t="s">
        <v>1039</v>
      </c>
      <c r="D23" s="8" t="s">
        <v>1055</v>
      </c>
    </row>
    <row r="24" spans="1:4" x14ac:dyDescent="0.45">
      <c r="A24" s="8" t="s">
        <v>1056</v>
      </c>
      <c r="B24" s="8" t="s">
        <v>1057</v>
      </c>
      <c r="C24" s="8" t="s">
        <v>1058</v>
      </c>
      <c r="D24" s="8" t="s">
        <v>1059</v>
      </c>
    </row>
    <row r="25" spans="1:4" x14ac:dyDescent="0.45">
      <c r="A25" s="8" t="s">
        <v>1060</v>
      </c>
      <c r="B25" s="8" t="s">
        <v>1061</v>
      </c>
      <c r="C25" s="8" t="s">
        <v>1016</v>
      </c>
      <c r="D25" s="8" t="s">
        <v>125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34" customWidth="1"/>
    <col min="3" max="3" width="60" customWidth="1"/>
  </cols>
  <sheetData>
    <row r="1" spans="1:3" ht="25.5" customHeight="1" x14ac:dyDescent="0.45">
      <c r="A1" s="4" t="s">
        <v>1062</v>
      </c>
      <c r="B1" s="4"/>
      <c r="C1" s="4"/>
    </row>
    <row r="2" spans="1:3" ht="15.75" customHeight="1" x14ac:dyDescent="0.45">
      <c r="A2" s="3" t="s">
        <v>1063</v>
      </c>
      <c r="B2" s="3"/>
      <c r="C2" s="3"/>
    </row>
    <row r="4" spans="1:3" x14ac:dyDescent="0.45">
      <c r="A4" s="14" t="s">
        <v>1064</v>
      </c>
      <c r="B4" s="14" t="s">
        <v>1065</v>
      </c>
      <c r="C4" s="14" t="s">
        <v>1066</v>
      </c>
    </row>
    <row r="5" spans="1:3" ht="54.75" customHeight="1" x14ac:dyDescent="0.45">
      <c r="A5" s="8" t="s">
        <v>1067</v>
      </c>
      <c r="B5" s="8" t="s">
        <v>1068</v>
      </c>
      <c r="C5" s="8" t="s">
        <v>1069</v>
      </c>
    </row>
    <row r="6" spans="1:3" ht="54.75" customHeight="1" x14ac:dyDescent="0.45">
      <c r="A6" s="8" t="s">
        <v>1043</v>
      </c>
      <c r="B6" s="8" t="s">
        <v>1070</v>
      </c>
      <c r="C6" s="8" t="s">
        <v>1071</v>
      </c>
    </row>
    <row r="7" spans="1:3" ht="54.75" customHeight="1" x14ac:dyDescent="0.45">
      <c r="A7" s="8" t="s">
        <v>1055</v>
      </c>
      <c r="B7" s="8" t="s">
        <v>1072</v>
      </c>
      <c r="C7" s="8" t="s">
        <v>1073</v>
      </c>
    </row>
    <row r="8" spans="1:3" ht="54.75" customHeight="1" x14ac:dyDescent="0.45">
      <c r="A8" s="8" t="s">
        <v>1046</v>
      </c>
      <c r="B8" s="8" t="s">
        <v>1074</v>
      </c>
      <c r="C8" s="8" t="s">
        <v>1075</v>
      </c>
    </row>
    <row r="9" spans="1:3" ht="54.75" customHeight="1" x14ac:dyDescent="0.45">
      <c r="A9" s="8" t="s">
        <v>1040</v>
      </c>
      <c r="B9" s="8" t="s">
        <v>1076</v>
      </c>
      <c r="C9" s="8" t="s">
        <v>1077</v>
      </c>
    </row>
    <row r="10" spans="1:3" ht="54.75" customHeight="1" x14ac:dyDescent="0.45">
      <c r="A10" s="8" t="s">
        <v>1078</v>
      </c>
      <c r="B10" s="8" t="s">
        <v>1079</v>
      </c>
      <c r="C10" s="8" t="s">
        <v>1080</v>
      </c>
    </row>
    <row r="11" spans="1:3" ht="54.75" customHeight="1" x14ac:dyDescent="0.45">
      <c r="A11" s="8" t="s">
        <v>1081</v>
      </c>
      <c r="B11" s="8" t="s">
        <v>1082</v>
      </c>
      <c r="C11" s="8" t="s">
        <v>1083</v>
      </c>
    </row>
    <row r="12" spans="1:3" ht="54.75" customHeight="1" x14ac:dyDescent="0.45">
      <c r="A12" s="8" t="s">
        <v>1084</v>
      </c>
      <c r="B12" s="8" t="s">
        <v>1085</v>
      </c>
      <c r="C12" s="8" t="s">
        <v>1086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25" x14ac:dyDescent="0.45"/>
  <cols>
    <col min="1" max="1" width="30" customWidth="1"/>
    <col min="2" max="2" width="45" customWidth="1"/>
    <col min="3" max="3" width="10" customWidth="1"/>
    <col min="4" max="4" width="26" customWidth="1"/>
    <col min="5" max="5" width="50" customWidth="1"/>
    <col min="6" max="6" width="14" customWidth="1"/>
  </cols>
  <sheetData>
    <row r="1" spans="1:6" ht="25.5" customHeight="1" x14ac:dyDescent="0.45">
      <c r="A1" s="4" t="s">
        <v>1087</v>
      </c>
      <c r="B1" s="4"/>
      <c r="C1" s="4"/>
      <c r="D1" s="4"/>
      <c r="E1" s="4"/>
      <c r="F1" s="4"/>
    </row>
    <row r="2" spans="1:6" ht="15.75" customHeight="1" x14ac:dyDescent="0.45">
      <c r="A2" s="3" t="s">
        <v>1088</v>
      </c>
      <c r="B2" s="3"/>
      <c r="C2" s="3"/>
      <c r="D2" s="3"/>
      <c r="E2" s="3"/>
      <c r="F2" s="3"/>
    </row>
    <row r="4" spans="1:6" x14ac:dyDescent="0.45">
      <c r="A4" s="14" t="s">
        <v>1089</v>
      </c>
      <c r="B4" s="14" t="s">
        <v>1090</v>
      </c>
      <c r="C4" s="14" t="s">
        <v>841</v>
      </c>
      <c r="D4" s="14" t="s">
        <v>1091</v>
      </c>
      <c r="E4" s="14" t="s">
        <v>1092</v>
      </c>
      <c r="F4" s="14" t="s">
        <v>1093</v>
      </c>
    </row>
    <row r="5" spans="1:6" ht="39.75" customHeight="1" x14ac:dyDescent="0.45">
      <c r="A5" s="8" t="s">
        <v>1094</v>
      </c>
      <c r="B5" s="8" t="s">
        <v>98</v>
      </c>
      <c r="C5" s="15" t="s">
        <v>1067</v>
      </c>
      <c r="D5" s="8" t="s">
        <v>1095</v>
      </c>
      <c r="E5" s="8" t="s">
        <v>1096</v>
      </c>
      <c r="F5" s="8" t="s">
        <v>415</v>
      </c>
    </row>
    <row r="6" spans="1:6" ht="39.75" customHeight="1" x14ac:dyDescent="0.45">
      <c r="A6" s="8" t="s">
        <v>1097</v>
      </c>
      <c r="B6" s="8" t="s">
        <v>1098</v>
      </c>
      <c r="C6" s="15" t="s">
        <v>1067</v>
      </c>
      <c r="D6" s="8" t="s">
        <v>1095</v>
      </c>
      <c r="E6" s="8" t="s">
        <v>1099</v>
      </c>
      <c r="F6" s="8" t="s">
        <v>415</v>
      </c>
    </row>
    <row r="7" spans="1:6" ht="39.75" customHeight="1" x14ac:dyDescent="0.45">
      <c r="A7" s="8" t="s">
        <v>1100</v>
      </c>
      <c r="B7" s="8" t="s">
        <v>1101</v>
      </c>
      <c r="C7" s="15" t="s">
        <v>1067</v>
      </c>
      <c r="D7" s="8" t="s">
        <v>1102</v>
      </c>
      <c r="E7" s="8" t="s">
        <v>1103</v>
      </c>
      <c r="F7" s="8" t="s">
        <v>415</v>
      </c>
    </row>
    <row r="8" spans="1:6" ht="39.75" customHeight="1" x14ac:dyDescent="0.45">
      <c r="A8" s="8" t="s">
        <v>1104</v>
      </c>
      <c r="B8" s="8" t="s">
        <v>1105</v>
      </c>
      <c r="C8" s="15" t="s">
        <v>1067</v>
      </c>
      <c r="D8" s="8" t="s">
        <v>1095</v>
      </c>
      <c r="E8" s="8" t="s">
        <v>1106</v>
      </c>
      <c r="F8" s="8" t="s">
        <v>415</v>
      </c>
    </row>
    <row r="9" spans="1:6" ht="39.75" customHeight="1" x14ac:dyDescent="0.45">
      <c r="A9" s="8" t="s">
        <v>1107</v>
      </c>
      <c r="B9" s="8" t="s">
        <v>1108</v>
      </c>
      <c r="C9" s="15" t="s">
        <v>1067</v>
      </c>
      <c r="D9" s="8" t="s">
        <v>1095</v>
      </c>
      <c r="E9" s="8" t="s">
        <v>1109</v>
      </c>
      <c r="F9" s="8" t="s">
        <v>415</v>
      </c>
    </row>
    <row r="10" spans="1:6" ht="39.75" customHeight="1" x14ac:dyDescent="0.45">
      <c r="A10" s="8" t="s">
        <v>1110</v>
      </c>
      <c r="B10" s="8" t="s">
        <v>104</v>
      </c>
      <c r="C10" s="15" t="s">
        <v>1067</v>
      </c>
      <c r="D10" s="8" t="s">
        <v>1111</v>
      </c>
      <c r="E10" s="8" t="s">
        <v>1112</v>
      </c>
      <c r="F10" s="8" t="s">
        <v>415</v>
      </c>
    </row>
    <row r="11" spans="1:6" ht="39.75" customHeight="1" x14ac:dyDescent="0.45">
      <c r="A11" s="8" t="s">
        <v>1113</v>
      </c>
      <c r="B11" s="8" t="s">
        <v>1114</v>
      </c>
      <c r="C11" s="15" t="s">
        <v>1067</v>
      </c>
      <c r="D11" s="8" t="s">
        <v>1095</v>
      </c>
      <c r="E11" s="8" t="s">
        <v>1115</v>
      </c>
      <c r="F11" s="8" t="s">
        <v>415</v>
      </c>
    </row>
    <row r="12" spans="1:6" ht="39.75" customHeight="1" x14ac:dyDescent="0.45">
      <c r="A12" s="8" t="s">
        <v>1116</v>
      </c>
      <c r="B12" s="8" t="s">
        <v>1117</v>
      </c>
      <c r="C12" s="15" t="s">
        <v>1067</v>
      </c>
      <c r="D12" s="8" t="s">
        <v>1118</v>
      </c>
      <c r="E12" s="8" t="s">
        <v>1119</v>
      </c>
      <c r="F12" s="8" t="s">
        <v>415</v>
      </c>
    </row>
    <row r="13" spans="1:6" ht="39.75" customHeight="1" x14ac:dyDescent="0.45">
      <c r="A13" s="8" t="s">
        <v>1120</v>
      </c>
      <c r="B13" s="8" t="s">
        <v>1121</v>
      </c>
      <c r="C13" s="15" t="s">
        <v>1067</v>
      </c>
      <c r="D13" s="8" t="s">
        <v>1122</v>
      </c>
      <c r="E13" s="8" t="s">
        <v>1123</v>
      </c>
      <c r="F13" s="8" t="s">
        <v>415</v>
      </c>
    </row>
    <row r="14" spans="1:6" ht="39.75" customHeight="1" x14ac:dyDescent="0.45">
      <c r="A14" s="8" t="s">
        <v>1124</v>
      </c>
      <c r="B14" s="8" t="s">
        <v>1125</v>
      </c>
      <c r="C14" s="16" t="s">
        <v>1055</v>
      </c>
      <c r="D14" s="8" t="s">
        <v>1126</v>
      </c>
      <c r="E14" s="8" t="s">
        <v>1127</v>
      </c>
      <c r="F14" s="8" t="s">
        <v>415</v>
      </c>
    </row>
    <row r="15" spans="1:6" ht="39.75" customHeight="1" x14ac:dyDescent="0.45">
      <c r="A15" s="8" t="s">
        <v>1128</v>
      </c>
      <c r="B15" s="8" t="s">
        <v>1129</v>
      </c>
      <c r="C15" s="16" t="s">
        <v>1055</v>
      </c>
      <c r="D15" s="8" t="s">
        <v>1130</v>
      </c>
      <c r="E15" s="8" t="s">
        <v>1131</v>
      </c>
      <c r="F15" s="8" t="s">
        <v>415</v>
      </c>
    </row>
    <row r="16" spans="1:6" ht="39.75" customHeight="1" x14ac:dyDescent="0.45">
      <c r="A16" s="8" t="s">
        <v>1132</v>
      </c>
      <c r="B16" s="8" t="s">
        <v>1133</v>
      </c>
      <c r="C16" s="16" t="s">
        <v>1055</v>
      </c>
      <c r="D16" s="8" t="s">
        <v>1130</v>
      </c>
      <c r="E16" s="8" t="s">
        <v>1134</v>
      </c>
      <c r="F16" s="8" t="s">
        <v>415</v>
      </c>
    </row>
    <row r="17" spans="1:6" ht="39.75" customHeight="1" x14ac:dyDescent="0.45">
      <c r="A17" s="8" t="s">
        <v>1135</v>
      </c>
      <c r="B17" s="8" t="s">
        <v>1136</v>
      </c>
      <c r="C17" s="16" t="s">
        <v>1055</v>
      </c>
      <c r="D17" s="8" t="s">
        <v>1126</v>
      </c>
      <c r="E17" s="8" t="s">
        <v>1137</v>
      </c>
      <c r="F17" s="8" t="s">
        <v>415</v>
      </c>
    </row>
    <row r="18" spans="1:6" ht="39.75" customHeight="1" x14ac:dyDescent="0.45">
      <c r="A18" s="8" t="s">
        <v>1138</v>
      </c>
      <c r="B18" s="8" t="s">
        <v>1139</v>
      </c>
      <c r="C18" s="16" t="s">
        <v>1055</v>
      </c>
      <c r="D18" s="8" t="s">
        <v>1126</v>
      </c>
      <c r="E18" s="8" t="s">
        <v>1140</v>
      </c>
      <c r="F18" s="8" t="s">
        <v>415</v>
      </c>
    </row>
    <row r="19" spans="1:6" ht="39.75" customHeight="1" x14ac:dyDescent="0.45">
      <c r="A19" s="8" t="s">
        <v>1141</v>
      </c>
      <c r="B19" s="8" t="s">
        <v>1142</v>
      </c>
      <c r="C19" s="16" t="s">
        <v>1055</v>
      </c>
      <c r="D19" s="8" t="s">
        <v>1126</v>
      </c>
      <c r="E19" s="8" t="s">
        <v>1143</v>
      </c>
      <c r="F19" s="8" t="s">
        <v>415</v>
      </c>
    </row>
    <row r="20" spans="1:6" ht="39.75" customHeight="1" x14ac:dyDescent="0.45">
      <c r="A20" s="8" t="s">
        <v>1144</v>
      </c>
      <c r="B20" s="8" t="s">
        <v>1145</v>
      </c>
      <c r="C20" s="16" t="s">
        <v>1146</v>
      </c>
      <c r="D20" s="8" t="s">
        <v>1147</v>
      </c>
      <c r="E20" s="8" t="s">
        <v>1148</v>
      </c>
      <c r="F20" s="8" t="s">
        <v>415</v>
      </c>
    </row>
    <row r="21" spans="1:6" ht="39.75" customHeight="1" x14ac:dyDescent="0.45">
      <c r="A21" s="8" t="s">
        <v>1128</v>
      </c>
      <c r="B21" s="8" t="s">
        <v>1129</v>
      </c>
      <c r="C21" s="16" t="s">
        <v>1055</v>
      </c>
      <c r="D21" s="8" t="s">
        <v>1126</v>
      </c>
      <c r="E21" s="8" t="s">
        <v>1149</v>
      </c>
      <c r="F21" s="8" t="s">
        <v>415</v>
      </c>
    </row>
    <row r="22" spans="1:6" ht="39.75" customHeight="1" x14ac:dyDescent="0.45">
      <c r="A22" s="8" t="s">
        <v>1150</v>
      </c>
      <c r="B22" s="8" t="s">
        <v>1151</v>
      </c>
      <c r="C22" s="16" t="s">
        <v>1055</v>
      </c>
      <c r="D22" s="8" t="s">
        <v>1126</v>
      </c>
      <c r="E22" s="8" t="s">
        <v>1152</v>
      </c>
      <c r="F22" s="8" t="s">
        <v>415</v>
      </c>
    </row>
    <row r="23" spans="1:6" ht="39.75" customHeight="1" x14ac:dyDescent="0.45">
      <c r="A23" s="8" t="s">
        <v>1153</v>
      </c>
      <c r="B23" s="8" t="s">
        <v>1154</v>
      </c>
      <c r="C23" s="16" t="s">
        <v>1055</v>
      </c>
      <c r="D23" s="8" t="s">
        <v>1126</v>
      </c>
      <c r="E23" s="8" t="s">
        <v>1155</v>
      </c>
      <c r="F23" s="8" t="s">
        <v>415</v>
      </c>
    </row>
    <row r="24" spans="1:6" ht="39.75" customHeight="1" x14ac:dyDescent="0.45">
      <c r="A24" s="8" t="s">
        <v>1156</v>
      </c>
      <c r="B24" s="8" t="s">
        <v>1157</v>
      </c>
      <c r="C24" s="16" t="s">
        <v>1158</v>
      </c>
      <c r="D24" s="8" t="s">
        <v>1159</v>
      </c>
      <c r="E24" s="8" t="s">
        <v>1160</v>
      </c>
      <c r="F24" s="8" t="s">
        <v>415</v>
      </c>
    </row>
    <row r="25" spans="1:6" ht="39.75" customHeight="1" x14ac:dyDescent="0.45">
      <c r="A25" s="8" t="s">
        <v>1161</v>
      </c>
      <c r="B25" s="8" t="s">
        <v>1162</v>
      </c>
      <c r="C25" s="16" t="s">
        <v>1055</v>
      </c>
      <c r="D25" s="8" t="s">
        <v>1126</v>
      </c>
      <c r="E25" s="8" t="s">
        <v>1163</v>
      </c>
      <c r="F25" s="8" t="s">
        <v>415</v>
      </c>
    </row>
    <row r="26" spans="1:6" ht="39.75" customHeight="1" x14ac:dyDescent="0.45">
      <c r="A26" s="8" t="s">
        <v>1164</v>
      </c>
      <c r="B26" s="8" t="s">
        <v>1165</v>
      </c>
      <c r="C26" s="16" t="s">
        <v>1055</v>
      </c>
      <c r="D26" s="8" t="s">
        <v>1166</v>
      </c>
      <c r="E26" s="8" t="s">
        <v>1167</v>
      </c>
      <c r="F26" s="8" t="s">
        <v>415</v>
      </c>
    </row>
    <row r="27" spans="1:6" ht="39.75" customHeight="1" x14ac:dyDescent="0.45">
      <c r="A27" s="8" t="s">
        <v>1168</v>
      </c>
      <c r="B27" s="8" t="s">
        <v>1169</v>
      </c>
      <c r="C27" s="21" t="s">
        <v>1046</v>
      </c>
      <c r="D27" s="8" t="s">
        <v>1170</v>
      </c>
      <c r="E27" s="8" t="s">
        <v>1171</v>
      </c>
      <c r="F27" s="8" t="s">
        <v>415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Brand_Manufacturer</vt:lpstr>
      <vt:lpstr>Models_Overview</vt:lpstr>
      <vt:lpstr>Variants</vt:lpstr>
      <vt:lpstr>Pricing</vt:lpstr>
      <vt:lpstr>Powertrain</vt:lpstr>
      <vt:lpstr>Dimensions_Ergonomics</vt:lpstr>
      <vt:lpstr>Safety_Chassis</vt:lpstr>
      <vt:lpstr>Technology_Features</vt:lpstr>
      <vt:lpstr>Warranty_Maintenance</vt:lpstr>
      <vt:lpstr>Performance_Mileage</vt:lpstr>
      <vt:lpstr>Competitors</vt:lpstr>
      <vt:lpstr>Customer_Reviews</vt:lpstr>
      <vt:lpstr>Service_Network_Accessories</vt:lpstr>
      <vt:lpstr>Regulatory</vt:lpstr>
      <vt:lpstr>Assumptions</vt:lpstr>
      <vt:lpstr>TCO_Calculator</vt:lpstr>
      <vt:lpstr>Customer_Decision_Profile</vt:lpstr>
      <vt:lpstr>Recommendation_Logic</vt:lpstr>
      <vt:lpstr>Sources_Evidence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Mahati Rajeshwar</cp:lastModifiedBy>
  <cp:revision>0</cp:revision>
  <dcterms:created xsi:type="dcterms:W3CDTF">2026-09-05T11:54:54Z</dcterms:created>
  <dcterms:modified xsi:type="dcterms:W3CDTF">2026-09-05T12:03:16Z</dcterms:modified>
  <dc:language>en-US</dc:language>
</cp:coreProperties>
</file>