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USHYANT BHARDWAJ\Desktop\AI Busines Models\"/>
    </mc:Choice>
  </mc:AlternateContent>
  <xr:revisionPtr revIDLastSave="0" documentId="8_{00BF0B18-D662-4EB0-84DC-7BFDC20B42A0}" xr6:coauthVersionLast="47" xr6:coauthVersionMax="47" xr10:uidLastSave="{00000000-0000-0000-0000-000000000000}"/>
  <bookViews>
    <workbookView xWindow="-110" yWindow="-110" windowWidth="19420" windowHeight="11500" tabRatio="500" activeTab="20" xr2:uid="{00000000-000D-0000-FFFF-FFFF00000000}"/>
  </bookViews>
  <sheets>
    <sheet name="Read Me" sheetId="1" r:id="rId1"/>
    <sheet name="Brand &amp; Company" sheetId="2" r:id="rId2"/>
    <sheet name="Product Portfolio" sheetId="3" r:id="rId3"/>
    <sheet name="Model Identity" sheetId="4" r:id="rId4"/>
    <sheet name="Variants &amp; Pricing" sheetId="5" r:id="rId5"/>
    <sheet name="Engine &amp; Performance" sheetId="6" r:id="rId6"/>
    <sheet name="Dimensions &amp; Ergonomics" sheetId="7" r:id="rId7"/>
    <sheet name="Brakes, Tyres &amp; Safety" sheetId="8" r:id="rId8"/>
    <sheet name="Suspension &amp; Chassis" sheetId="9" r:id="rId9"/>
    <sheet name="Technology &amp; Connectivity" sheetId="10" r:id="rId10"/>
    <sheet name="Comfort &amp; Practicality" sheetId="11" r:id="rId11"/>
    <sheet name="Use-Case Positioning" sheetId="12" r:id="rId12"/>
    <sheet name="Warranty &amp; Maintenance" sheetId="13" r:id="rId13"/>
    <sheet name="Official Accessories" sheetId="14" r:id="rId14"/>
    <sheet name="Competitors (Secondary)" sheetId="15" r:id="rId15"/>
    <sheet name="Customer Sentiment (Secondary)" sheetId="16" r:id="rId16"/>
    <sheet name="TCO Calculator (Template)" sheetId="17" r:id="rId17"/>
    <sheet name="Customer Profile Template" sheetId="18" r:id="rId18"/>
    <sheet name="Financing, Insurance &amp; Resale" sheetId="19" r:id="rId19"/>
    <sheet name="Not Available (Unresolved)" sheetId="20" r:id="rId20"/>
    <sheet name="Sources &amp; Evidence Log" sheetId="21" r:id="rId2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8" i="17" l="1"/>
  <c r="B21" i="17" s="1"/>
  <c r="B12" i="17"/>
  <c r="B28" i="17" l="1"/>
  <c r="B26" i="17"/>
</calcChain>
</file>

<file path=xl/sharedStrings.xml><?xml version="1.0" encoding="utf-8"?>
<sst xmlns="http://schemas.openxmlformats.org/spreadsheetml/2006/main" count="1511" uniqueCount="910">
  <si>
    <t>TVS Motorcycles — Official Knowledge Base</t>
  </si>
  <si>
    <t>Compiled exclusively from official TVS Motor Company sources (tvsmotor.com and shop.tvsmotor.com) · Data accessed 2026-09-05</t>
  </si>
  <si>
    <t>Scope</t>
  </si>
  <si>
    <t>All 12 motorcycles currently listed under Motorcycles / Premium on tvsmotor.com's official vehicle catalogue. Scooters, mopeds, electric scooters and three-wheelers are listed only at a summary level in the 'Product Portfolio' tab for brand context, per your request to focus on motorcycles.</t>
  </si>
  <si>
    <t>Sourcing rule</t>
  </si>
  <si>
    <t>This workbook was built in two passes. Pass 1 used only official TVS Motor Company pages, PDF brochures, and PDF owner's manuals (black text throughout). Pass 2, at the user's request, filled remaining gaps from named trusted secondary sources — BikeWale, 91Wheels, ZigWheels, Autocar India, BikeDekho, Team-BHP for vehicle facts/competitors/sentiment, plus TVS Credit, ICICI Lombard and PolicyBazaar for financing/insurance context (purple text throughout, always naming which publication it came from). Every model sheet and the 'Sources &amp; Evidence Log' tab records the exact URL(s) and tier behind each row.</t>
  </si>
  <si>
    <t>What's NOT covered, and why</t>
  </si>
  <si>
    <t>Categories TVS itself never publishes — competitor comparisons and customer-review sentiment — now have their own tabs, filled from named trusted secondary sources. Resale value, insurance premiums, financing rates, service-cost rate cards and a finished TCO figure genuinely can't be a single fact per bike (they depend on the buyer, city, insurer and used market), so those get general secondary-sourced context in 'Financing, Insurance &amp; Resale' instead of an invented per-model number — see the 'Not Available (Unresolved)' tab for exactly what's still missing and why.</t>
  </si>
  <si>
    <t>How to read cell colours</t>
  </si>
  <si>
    <t>Black text = published directly by TVS Motor Company on tvsmotor.com (Tier 1, official). Purple italic text = TVS didn't publish this figure, so it was filled from a named trusted secondary source (BikeWale, 91Wheels, ZigWheels, Autocar India, Team-BHP — Tier 3 reputable automotive publications) with the publication named right in the cell; treat these as reliable but not manufacturer-verified. Grey italic text reading "Not available..."/"Not published..." means neither TVS nor the secondary sources checked exposed that figure — it does not mean the feature doesn't exist on the bike.</t>
  </si>
  <si>
    <t>Sourcing update (2026-09-05)</t>
  </si>
  <si>
    <t>This workbook was originally built strictly from tvsmotor.com. At the user's request, remaining gaps were subsequently filled from trusted secondary/third-party automotive publications, clearly tagged purple and distinguished from TVS's own Tier-1 data throughout. Two new tabs were added for data TVS never publishes itself: 'Competitors (Secondary)' and 'Customer Sentiment (Secondary)'.</t>
  </si>
  <si>
    <t>Pricing caveat</t>
  </si>
  <si>
    <t>TVS shows ex-showroom pricing dynamically by state/city on most pages; the default city returned during this research was largely Delhi. Treat every price in this workbook as an indicative starting figure and re-verify for your own city on tvsmotor.com or with a dealer before making a decision — prices also change over time.</t>
  </si>
  <si>
    <t>Images</t>
  </si>
  <si>
    <t>Sandboxed research tooling could not download TVS's image files directly (network policy), so this workbook links to TVS's own official image and brochure URLs rather than embedding copies of the pictures. Click any blue link in the 'Images &amp; Media' columns/tab to view the image on tvsmotor.com.</t>
  </si>
  <si>
    <t>Workbook structure</t>
  </si>
  <si>
    <t>See the tab list below. Variant-level detail (your requirement #3) lives in 'Variants &amp; Pricing'; everything else follows your 29-point structure, consolidated into fewer, richer tabs for readability, as you asked.</t>
  </si>
  <si>
    <t>Tab</t>
  </si>
  <si>
    <t>Contents</t>
  </si>
  <si>
    <t>Brand &amp; Company</t>
  </si>
  <si>
    <t>TVS Motor Company profile, positioning, technologies, warranty philosophy, service/customer-care channels (spec section 1)</t>
  </si>
  <si>
    <t>Product Portfolio</t>
  </si>
  <si>
    <t>Full TVS 2-wheeler range by category, for brand context (motorcycles are the focus of every other tab)</t>
  </si>
  <si>
    <t>Model Identity</t>
  </si>
  <si>
    <t>One row per motorcycle: segment, tagline, positioning, generation, official page/brochure links (spec section 2)</t>
  </si>
  <si>
    <t>Variants &amp; Pricing</t>
  </si>
  <si>
    <t>Variant-level names, ex-showroom prices, colours, and pricing caveats (spec sections 3 &amp; 4)</t>
  </si>
  <si>
    <t>Engine &amp; Performance</t>
  </si>
  <si>
    <t>Displacement, power, torque, transmission, acceleration, top speed (spec sections 5 &amp; 6)</t>
  </si>
  <si>
    <t>Dimensions &amp; Ergonomics</t>
  </si>
  <si>
    <t>Length/width/height/wheelbase/ground clearance/seat height/kerb weight/fuel tank (spec section 8)</t>
  </si>
  <si>
    <t>Brakes, Tyres &amp; Safety</t>
  </si>
  <si>
    <t>Brake type/size, ABS configuration, tyre sizes (spec section 10)</t>
  </si>
  <si>
    <t>Suspension &amp; Chassis</t>
  </si>
  <si>
    <t>Frame type, front/rear suspension, wheels (spec section 11)</t>
  </si>
  <si>
    <t>Technology &amp; Connectivity</t>
  </si>
  <si>
    <t>Instrument cluster, ride modes, SmartXonnect features, lighting (spec section 12)</t>
  </si>
  <si>
    <t>Comfort &amp; Practicality</t>
  </si>
  <si>
    <t>Seat/clutch/ride-aid features drawn from official spec sheets; genuinely subjective comfort claims are labelled, not asserted (spec sections 9 &amp; 13)</t>
  </si>
  <si>
    <t>Use-Case Positioning</t>
  </si>
  <si>
    <t>How TVS itself frames each model's intended use — explicitly labelled as manufacturer marketing framing, not independent testing (spec section 14)</t>
  </si>
  <si>
    <t>Warranty &amp; Maintenance</t>
  </si>
  <si>
    <t>Warranty duration/km and published service schedules (spec sections 15 &amp; 17)</t>
  </si>
  <si>
    <t>Official Accessories</t>
  </si>
  <si>
    <t>Genuine TVS accessories found on shop.tvsmotor.com, with prices (spec section 23)</t>
  </si>
  <si>
    <t>Competitors (Secondary)</t>
  </si>
  <si>
    <t>Direct competitors per model, confirmed via independent comparison articles — TVS itself never names competitors (spec section 24)</t>
  </si>
  <si>
    <t>Customer Sentiment (Secondary)</t>
  </si>
  <si>
    <t>Aggregated owner ratings and reviewer praise/complaints per model — explicitly labelled opinion, not fact (spec section 25)</t>
  </si>
  <si>
    <t>TCO Calculator (Template)</t>
  </si>
  <si>
    <t>A blank, editable total-cost-of-ownership calculator shell with formulas — populate the yellow cells with your own assumptions (spec section 20)</t>
  </si>
  <si>
    <t>Customer Profile Template</t>
  </si>
  <si>
    <t>A blank customer-requirement intake form matching your spec section 27, ready to feed a recommendation engine</t>
  </si>
  <si>
    <t>Financing, Insurance &amp; Resale Notes</t>
  </si>
  <si>
    <t>General secondary-sourced context (loan tenure, IDV depreciation schedule, indicative insurance premium range, resale rule-of-thumb) — none of these can be a single fact per bike, so treat as background, not a quote (spec sections 18/19/21)</t>
  </si>
  <si>
    <t>Not Available (Unresolved)</t>
  </si>
  <si>
    <t>What remains unresolved even after checking trusted secondary sources, with a one-line reason (spec sections 6-part/28)</t>
  </si>
  <si>
    <t>Sources &amp; Evidence Log</t>
  </si>
  <si>
    <t>Every URL used — official TVS (Tier 1) and secondary (Tier 3) — with tier classification and the access date (spec section 29)</t>
  </si>
  <si>
    <t>TVS Motor Company — Brand &amp; Manufacturer Profile</t>
  </si>
  <si>
    <t>Source: tvsmotor.com corporate/about pages and official Warranty Policy page</t>
  </si>
  <si>
    <t>Field</t>
  </si>
  <si>
    <t>Detail</t>
  </si>
  <si>
    <t>Company name</t>
  </si>
  <si>
    <t>TVS Motor Company Limited</t>
  </si>
  <si>
    <t>Parent / Group</t>
  </si>
  <si>
    <t>TVS Group (100+ year Indian industrial group)</t>
  </si>
  <si>
    <t>Founded / heritage</t>
  </si>
  <si>
    <t>Part of a group with a stated "100-year legacy of Trust, Value, and Service"</t>
  </si>
  <si>
    <t>Market position</t>
  </si>
  <si>
    <t>Third largest two-wheeler manufacturer globally (TVS's own stated positioning); operations in ~80 countries</t>
  </si>
  <si>
    <t>Quality recognition</t>
  </si>
  <si>
    <t>Only two-wheeler company to have received the Deming Prize (TVS's own claim); products cited as leading J.D. Power IQS and APEAL surveys; TVS states it has ranked #1 in Customer Service Satisfaction for four consecutive years (source: TVS corporate site, unspecified survey/year)</t>
  </si>
  <si>
    <t>Manufacturing footprint</t>
  </si>
  <si>
    <t>Four manufacturing facilities: Hosur, Mysuru, Nalagarh (India) and Karawang (Indonesia)</t>
  </si>
  <si>
    <t>E-mobility subsidiaries</t>
  </si>
  <si>
    <t>Swiss E-Mobility Group and EGO Movement</t>
  </si>
  <si>
    <t>Customers served</t>
  </si>
  <si>
    <t>TVS states "over 50 million customers served to date"</t>
  </si>
  <si>
    <t>Brand philosophy</t>
  </si>
  <si>
    <t>Positions itself as a champion of "Sustainable Mobility," emphasising innovative, environment-friendly products across a full range from mopeds to performance motorcycles</t>
  </si>
  <si>
    <t>Major cross-brand technologies</t>
  </si>
  <si>
    <t>SmartXonnect (connected features/telemetry), RT-Fi / race-tuned fuel injection, Glide Through Technology (GTT), Synchro Stiff frame technology, Synchronized Braking Technology (SBT)</t>
  </si>
  <si>
    <t>Warranty philosophy (brand-level, from official Warranty Policy page)</t>
  </si>
  <si>
    <t>Standard new-vehicle warranty since 11-Sep-2017: Motorcycles 5 years or 60,000 km (whichever first); Scooters 5 years or 50,000 km; Mopeds 3 years or 36,000 km; Apache RR 310 5 years or 50,000 km (5-yr cover applies to BSVI variants only); TVS iQube (electric scooter) 3 years or 50,000 km covering vehicle and battery. TVS directs owners to the vehicle's Owner Manual for full inclusions/exclusions and does not publish extended-warranty terms, claim procedure, or roadside-assistance terms on this page.</t>
  </si>
  <si>
    <t>Customer care channels</t>
  </si>
  <si>
    <t>Toll-free 1800-258-7555; Email customercare@tvsmotor.com; 24/7 Roadside Assistance toll-free 1800-258-7111; TVS Connect app; TVS Arive app; SmartXonnect companion app (model-specific)</t>
  </si>
  <si>
    <t>Service network</t>
  </si>
  <si>
    <t>TVS publishes an online Dealer Locator across multiple dealer categories (standard, super-premium, electric specialist) but does NOT publish a specific total dealer/service-centre count or geographic-coverage number on the pages reviewed. Not available from official TVS source for exact touchpoint counts.</t>
  </si>
  <si>
    <t>Official website</t>
  </si>
  <si>
    <t>https://www.tvsmotor.com</t>
  </si>
  <si>
    <t>Official vehicle catalogue</t>
  </si>
  <si>
    <t>https://www.tvsmotor.com/our-products/vehicles</t>
  </si>
  <si>
    <t>Official warranty policy page</t>
  </si>
  <si>
    <t>https://www.tvsmotor.com/customers/warranty-policy</t>
  </si>
  <si>
    <t>Official dealer locator</t>
  </si>
  <si>
    <t>https://www.tvsmotor.com/tvs-dealer-locator/tvs-2-wheeler</t>
  </si>
  <si>
    <t>Official accessories store</t>
  </si>
  <si>
    <t>https://shop.tvsmotor.com</t>
  </si>
  <si>
    <t>Additional scale metrics (FY2025-26 Integrated Annual Report, official)</t>
  </si>
  <si>
    <t>FY2025-26 total sales volume (2W+3W)</t>
  </si>
  <si>
    <t>5.89 million units (TVS's own FY2025-26 Integrated Annual Report)</t>
  </si>
  <si>
    <t>FY2025-26 two-wheeler domestic ICE sales</t>
  </si>
  <si>
    <t>3.87 million units</t>
  </si>
  <si>
    <t>FY2025-26 EV sales</t>
  </si>
  <si>
    <t>3.71 lakh (371,000) units</t>
  </si>
  <si>
    <t>FY2025-26 three-wheeler sales</t>
  </si>
  <si>
    <t>2.19 lakh (219,000) units</t>
  </si>
  <si>
    <t>R&amp;D spend, FY2025-26</t>
  </si>
  <si>
    <t>₹1,254 crore</t>
  </si>
  <si>
    <t>R&amp;D workforce</t>
  </si>
  <si>
    <t>2,000+ engineers, manufacturing and IT specialists</t>
  </si>
  <si>
    <t>Dealers calibrated under TVS's My Sustainability Index</t>
  </si>
  <si>
    <t>617 (this is a sustainability-programme count, not TVS's total dealer/service network size, which remains unpublished on the pages reviewed)</t>
  </si>
  <si>
    <t>Annual report source</t>
  </si>
  <si>
    <t>https://www.tvsmotor.com/ar-25-26/tvs.html</t>
  </si>
  <si>
    <t>Full TVS Two-Wheeler &amp; Three-Wheeler Portfolio</t>
  </si>
  <si>
    <t>Source: https://www.tvsmotor.com/our-products/vehicles — for brand context only; this workbook's detailed tabs cover motorcycles only, per request</t>
  </si>
  <si>
    <t>Category</t>
  </si>
  <si>
    <t>Model(s)</t>
  </si>
  <si>
    <t>Motorcycle - Commuter</t>
  </si>
  <si>
    <t>TVS Radeon</t>
  </si>
  <si>
    <t>TVS Star City+</t>
  </si>
  <si>
    <t>TVS Sport</t>
  </si>
  <si>
    <t>Motorcycle - Commuter/Sporty</t>
  </si>
  <si>
    <t>TVS Raider 125</t>
  </si>
  <si>
    <t>Motorcycle - Modern-retro / Roadster</t>
  </si>
  <si>
    <t>TVS Ronin</t>
  </si>
  <si>
    <t>Motorcycle - Naked Sports (Apache)</t>
  </si>
  <si>
    <t>Apache RTR 160</t>
  </si>
  <si>
    <t>Apache RTR 160 4V</t>
  </si>
  <si>
    <t>Apache RTR 180</t>
  </si>
  <si>
    <t>Apache RTR 200 4V</t>
  </si>
  <si>
    <t>Motorcycle - Naked Sports / Performance (Apache)</t>
  </si>
  <si>
    <t>Apache RTR 310</t>
  </si>
  <si>
    <t>Motorcycle - Supersport / Performance (Apache)</t>
  </si>
  <si>
    <t>Apache RR 310</t>
  </si>
  <si>
    <t>Motorcycle - Adventure Tourer (Apache, premium)</t>
  </si>
  <si>
    <t>Apache RTX</t>
  </si>
  <si>
    <t>Scooter</t>
  </si>
  <si>
    <t>TVS Jupiter 110</t>
  </si>
  <si>
    <t>TVS Jupiter 125</t>
  </si>
  <si>
    <t>Scooter - Performance</t>
  </si>
  <si>
    <t>TVS Ntorq 125</t>
  </si>
  <si>
    <t>TVS Ntorq 150</t>
  </si>
  <si>
    <t>TVS Zest 110</t>
  </si>
  <si>
    <t>Electric Scooter (EV)</t>
  </si>
  <si>
    <t>TVS iQube (2.2 / 3.1 / 3.5 / 4.7 / 5.3 kWh variants)</t>
  </si>
  <si>
    <t>TVS Orbiter</t>
  </si>
  <si>
    <t>TVS X</t>
  </si>
  <si>
    <t>Moped</t>
  </si>
  <si>
    <t>TVS XL100</t>
  </si>
  <si>
    <t>Three-wheeler</t>
  </si>
  <si>
    <t>TVS King Deluxe</t>
  </si>
  <si>
    <t>TVS King Duramax Plus</t>
  </si>
  <si>
    <t>Three-wheeler (EV)</t>
  </si>
  <si>
    <t>TVS King EV Max</t>
  </si>
  <si>
    <t>Three-wheeler (Cargo)</t>
  </si>
  <si>
    <t>TVS King Kargo</t>
  </si>
  <si>
    <t>Three-wheeler (Cargo, CNG)</t>
  </si>
  <si>
    <t>TVS King Kargo CNG HD</t>
  </si>
  <si>
    <t>Three-wheeler (Cargo, EV)</t>
  </si>
  <si>
    <t>TVS King Kargo HD EV</t>
  </si>
  <si>
    <t>Spec section 2 — Product/Model Identity. All wording quoted or paraphrased directly from tvsmotor.com model pages.</t>
  </si>
  <si>
    <t>Model</t>
  </si>
  <si>
    <t>Segment</t>
  </si>
  <si>
    <t>Tagline / Positioning statement (TVS's own wording)</t>
  </si>
  <si>
    <t>Generation / notes</t>
  </si>
  <si>
    <t>Official product page</t>
  </si>
  <si>
    <t>Official brochure</t>
  </si>
  <si>
    <t>Commuter (economy/executive, 110cc)</t>
  </si>
  <si>
    <t>Marketed by TVS as "Commuter Bike of the Year"
Positioning: TVS's own positioning: value-focused daily commuter emphasising fuel efficiency and low running cost</t>
  </si>
  <si>
    <t>Current BS6 generation</t>
  </si>
  <si>
    <t>https://www.tvsmotor.com/tvs-radeon</t>
  </si>
  <si>
    <t>https://www.tvsmotor.com/tvs-radeon/-/media/Brand-Pages-Webp/TVS-Radeon---Brochure-Seperate_325.pdf</t>
  </si>
  <si>
    <t>Commuter (premium 110cc)</t>
  </si>
  <si>
    <t>"Premium motorcycle with 110cc engine, enhanced style and best-in-class features"
Positioning: TVS's own positioning: a step-up premium commuter above Radeon/Sport, styling and features-led</t>
  </si>
  <si>
    <t>https://www.tvsmotor.com/tvs-star-city-plus</t>
  </si>
  <si>
    <t>https://www.tvsmotor.com/tvs-star-city-plus/-/media/Brand-Pages/TVSStarCity/Brochure/3-3-22/11711375-TVS-Star-City-BrochureEnglish-R2.pdf</t>
  </si>
  <si>
    <t>Commuter (entry/economy 110cc)</t>
  </si>
  <si>
    <t>"Mera Style Mera TVS Sport" era positioning as a stylish, fuel-efficient economy commuter (Source: BikeWale/TVS marketing, secondary corroboration)
Positioning: TVS's own positioning: entry-level fuel-efficient commuter</t>
  </si>
  <si>
    <t>https://www.tvsmotor.com/tvs-sport (also listed at https://www.tvsmotor.com/commuter/tvs-sport)</t>
  </si>
  <si>
    <t>Not found on tvsmotor.com or via search of secondary sources.</t>
  </si>
  <si>
    <t>Commuter / sporty (125cc)</t>
  </si>
  <si>
    <t>"Go wicked with distinct sporty styling, best in class performance"
Positioning: TVS's own positioning: youth-focused sporty commuter, styling and connected-feature led</t>
  </si>
  <si>
    <t>Raider 125 iGO, current BS6 generation</t>
  </si>
  <si>
    <t>https://www.tvsmotor.com/tvs-raider</t>
  </si>
  <si>
    <t>https://www.tvsmotor.com/-/media/tvs-raider/Brochure/06_TVS ABS Digital Raider TFT Leaflet-27-02-2026.pdf</t>
  </si>
  <si>
    <t>Modern-retro roadster / cruiser crossover (225cc)</t>
  </si>
  <si>
    <t>"A stylish 225cc motorcycle that's evolved like no other"
Positioning: TVS's own positioning: neo-retro roadster for self-expression/lifestyle riders, positioned above commuter range and below the performance Apache range</t>
  </si>
  <si>
    <t>Ronin 225, current generation (TVS references a "2025" brochure edition)</t>
  </si>
  <si>
    <t>https://www.tvsmotor.com/tvs-ronin</t>
  </si>
  <si>
    <t>https://www.tvsmotor.com/tvs-ronin/-/media/U368Media/File/TVS-_Ronin_2025_Verticle_brochure.pdf</t>
  </si>
  <si>
    <t>Naked sports — entry Apache (160cc, 2-valve)</t>
  </si>
  <si>
    <t>"India's most powerful 160cc engine" (TVS's own claim)
Positioning: TVS's own positioning: entry point into the performance-oriented Apache range</t>
  </si>
  <si>
    <t>Apache RTR 160 (2V), current BS6 generation</t>
  </si>
  <si>
    <t>https://www.tvsmotor.com/tvs-apache/apache-rtr-160-2v</t>
  </si>
  <si>
    <t>https://www.tvsmotor.com/tvs-apache/-/media/Brand-Pages/Apache/Brochure/TVS-Apache-RTR-160-Brochure_V4.pdf</t>
  </si>
  <si>
    <t>Naked sports — Apache (160cc, 4-valve)</t>
  </si>
  <si>
    <t>"Light to lead, Power to win"
Positioning: TVS's own positioning: 4-valve step-up over the RTR 160 2V within the same displacement class</t>
  </si>
  <si>
    <t>Current BS6 generation (TVS references a 2026 brochure edition)</t>
  </si>
  <si>
    <t>https://www.tvsmotor.com/tvs-apache/apache-rtr-160-4v</t>
  </si>
  <si>
    <t>https://www.tvsmotor.com/tvs-apache/-/media/Brand-Pages/Apache/Brochure/2026/All-New-TVS-Apache-RTR-160-4V-Brochure.pdf</t>
  </si>
  <si>
    <t>Naked sports — Apache (180cc)</t>
  </si>
  <si>
    <t>TVS: "For over ten years... pushing the boundaries of performance"
Positioning: TVS's own positioning: mid-range performance step-up within the Apache range</t>
  </si>
  <si>
    <t>https://www.tvsmotor.com/tvs-apache/apache-rtr-180</t>
  </si>
  <si>
    <t>TVS-Apache-RTR-180-Brochure_Final.pdf (link referenced on product page; full path not captured)</t>
  </si>
  <si>
    <t>Naked sports — Apache (200cc)</t>
  </si>
  <si>
    <t>"Lead the pack, Light the way" — TVS references 20 years of Apache racing heritage
Positioning: TVS's own positioning: race-bred naked streetfighter, street-dominance focus</t>
  </si>
  <si>
    <t>https://www.tvsmotor.com/tvs-apache/apache-rtr-200-4v</t>
  </si>
  <si>
    <t>https://www.tvsmotor.com/tvs-apache/-/media/Brand-Pages/Apache/Brochure/Apache-200-4V-BLUE-Leaflet.pdf</t>
  </si>
  <si>
    <t>Naked sports / performance — Apache flagship streetfighter (310cc)</t>
  </si>
  <si>
    <t>"Racing DNA Runs" / "The Freestyler"
Positioning: TVS's own positioning: "evolution from puritan to play" — stripped-down naked sport for performance and self-expression, the naked-streetfighter sibling of the RR 310</t>
  </si>
  <si>
    <t>"All-New" Apache RTR 310 (TVS's own naming)</t>
  </si>
  <si>
    <t>https://www.tvsmotor.com/tvs-apache/apache-rtr-310</t>
  </si>
  <si>
    <t>Not resolved to a direct file from tvsmotor.com or secondary sources.</t>
  </si>
  <si>
    <t>Supersport / performance — Apache flagship faired sportbike (310cc)</t>
  </si>
  <si>
    <t>"Crafted by champions. Crafted to conquer."
Positioning: TVS's own positioning: "the ultimate track weapon," born of TVS Racing's 35-year motorsport heritage; the faired supersport sibling of the RTR 310</t>
  </si>
  <si>
    <t>https://www.tvsmotor.com/tvs-apache/rr-310</t>
  </si>
  <si>
    <t>Adventure tourer — premium Apache sub-brand (299cc)</t>
  </si>
  <si>
    <t>Described by TVS as an "adventure rally tourer"
Positioning: TVS's own positioning: blends "race-honed performance with long-touring comfort," engineered for exploration; sits in a new "Premium" sub-brand alongside/above the mainstream Apache range</t>
  </si>
  <si>
    <t>All-new, launched 2026 — currently in pre-booking as of the access date</t>
  </si>
  <si>
    <t>https://www.tvsmotor.com/premium/tvs-apache/apache-rtx</t>
  </si>
  <si>
    <t>https://www.tvsmotor.com/-/media/premium-app/tvs-apache/RTXImages/APACHE-RTX-BROCHURE.pdf (link found; PDF text was not machine-readable when fetched)</t>
  </si>
  <si>
    <t>Spec sections 3 &amp; 4 — Variant identity and pricing. Prices are as displayed on tvsmotor.com at access date and are indicative — always re-verify for your own city/state.</t>
  </si>
  <si>
    <t>Variant name</t>
  </si>
  <si>
    <t>Ex-showroom price (INR)</t>
  </si>
  <si>
    <t>Price basis / note</t>
  </si>
  <si>
    <t>Colours available</t>
  </si>
  <si>
    <t>General price note for this model</t>
  </si>
  <si>
    <t>All Black Edition</t>
  </si>
  <si>
    <t>₹58,850</t>
  </si>
  <si>
    <t>Not available from official TVS source</t>
  </si>
  <si>
    <t>DT Blue Black, DT Red Black, Black (Digi Cluster Edition), All Black, Starlight Blue, Metal Black, Royal Purple, Titanium Grey</t>
  </si>
  <si>
    <t>Prices as displayed on the official product page at access date; TVS shows ex-showroom price by state/city selector — city/state basis was not specified on the page content retrieved, treat as an indicative starting figure and re-verify on tvsmotor.com for your city.</t>
  </si>
  <si>
    <t>Base Edition</t>
  </si>
  <si>
    <t>₹65,850</t>
  </si>
  <si>
    <t>Digi Drum</t>
  </si>
  <si>
    <t>₹78,350</t>
  </si>
  <si>
    <t>Digi Disc</t>
  </si>
  <si>
    <t>₹80,600</t>
  </si>
  <si>
    <t>Drum</t>
  </si>
  <si>
    <t>₹72,022</t>
  </si>
  <si>
    <t>Ex-showroom (Source: BikeWale, secondary — city basis as shown on BikeWale, not necessarily the same city as any official TVS figure elsewhere in this workbook)</t>
  </si>
  <si>
    <t>Black Red, Grey Black, Black Green, Black Blue</t>
  </si>
  <si>
    <t>Ex-showroom pricing on the official page requires a state/city selection (dynamic) and was not resolvable from the fetched page content — check tvsmotor.com directly for a specific city.</t>
  </si>
  <si>
    <t>Disc</t>
  </si>
  <si>
    <t>₹75,544</t>
  </si>
  <si>
    <t>Ex-showroom (Source: BikeWale, secondary)</t>
  </si>
  <si>
    <t>Self Start (ES)</t>
  </si>
  <si>
    <t>₹65,714</t>
  </si>
  <si>
    <t>ES: Starlight Blue, All Black, All Grey, All Red. ES+: Black Neon, Grey Red.</t>
  </si>
  <si>
    <t>Ex-showroom price could not be retrieved from the official page content (JavaScript-rendered price widget) — re-check tvsmotor.com/tvs-sport/price directly.</t>
  </si>
  <si>
    <t>Self Start (ES+)</t>
  </si>
  <si>
    <t>₹66,700</t>
  </si>
  <si>
    <t>Ex-showroom (Source: BikeWale, secondary) — TVS's own site lists this as a distinct variant name without a captured price</t>
  </si>
  <si>
    <t>₹85,887</t>
  </si>
  <si>
    <t>16 colour options across variants, including Wicked Black, Striking Red, Blazing Blue, Mercury Grey, Spectral Green, Nardo Grey, Nitro Green, Metallic Blue, plus Marvel-themed "Super Squad" editions (Wolverine, Deadpool, Iron Man, Black Panther liveries) (Source: BikeWale, secondary)</t>
  </si>
  <si>
    <t>Ex-showroom prices are shown dynamically by city on the official page and could not be captured per variant from the fetched content — re-check tvsmotor.com/tvs-raider directly.</t>
  </si>
  <si>
    <t>Single Seat - Disc</t>
  </si>
  <si>
    <t>₹90,008</t>
  </si>
  <si>
    <t>Split Seat - Disc</t>
  </si>
  <si>
    <t>₹94,727</t>
  </si>
  <si>
    <t>iGO - Boost Mode</t>
  </si>
  <si>
    <t>₹94,739</t>
  </si>
  <si>
    <t>Super Squad Edition (Marvel-themed)</t>
  </si>
  <si>
    <t>₹95,878</t>
  </si>
  <si>
    <t>SXC - Single Channel ABS</t>
  </si>
  <si>
    <t>₹98,335</t>
  </si>
  <si>
    <t>TFT - Single Channel ABS</t>
  </si>
  <si>
    <t>₹1,00,036</t>
  </si>
  <si>
    <t>Base - Lightning Black</t>
  </si>
  <si>
    <t>₹1,30,314</t>
  </si>
  <si>
    <t>Black/Bright Gold styling combinations referenced; full colour list not captured from the page ("All features and colours may not be part of all variants" per TVS's own disclaimer).</t>
  </si>
  <si>
    <t>Ex-showroom price not resolvable from the pages fetched (dynamic by city) — re-check tvsmotor.com/tvs-ronin directly.</t>
  </si>
  <si>
    <t>Base - Magma Red</t>
  </si>
  <si>
    <t>₹1,32,019</t>
  </si>
  <si>
    <t>Agonda (special edition)</t>
  </si>
  <si>
    <t>₹1,33,822</t>
  </si>
  <si>
    <t>Mid - Glacier Silver</t>
  </si>
  <si>
    <t>₹1,50,088</t>
  </si>
  <si>
    <t>Mid - Charcoal Ember</t>
  </si>
  <si>
    <t>₹1,51,388</t>
  </si>
  <si>
    <t>Top</t>
  </si>
  <si>
    <t>₹1,62,684</t>
  </si>
  <si>
    <t>Apache RTR 160 (2V)</t>
  </si>
  <si>
    <t>₹1,21,420</t>
  </si>
  <si>
    <t>Ex-showroom, Delhi</t>
  </si>
  <si>
    <t>Pearl White, Gloss Black, Racing Red, Matte Blue, Matte Black, Titanium Grey</t>
  </si>
  <si>
    <t>On-road Delhi price for the RTR 160 line stated by TVS as ₹1,45,064. Verify for your own city — ex-showroom varies by state.</t>
  </si>
  <si>
    <t>Single Channel ABS</t>
  </si>
  <si>
    <t>₹1,24,870</t>
  </si>
  <si>
    <t>Marine Blue (USD with TFT), Racing Red, Matte Black, Granite Grey, Pearl White</t>
  </si>
  <si>
    <t>On-road Delhi price stated by TVS: ₹1,47,982.</t>
  </si>
  <si>
    <t>Dual Channel ABS with USD</t>
  </si>
  <si>
    <t>Ex-showroom, Delhi — same figure as shown for Single-Channel variant on the fetched page; likely reflects only the default/lowest variant displayed, NOT confirmed per-variant pricing. Re-verify each variant's price directly on tvsmotor.com.</t>
  </si>
  <si>
    <t>USD with TFT</t>
  </si>
  <si>
    <t>See note above — re-verify per-variant pricing directly.</t>
  </si>
  <si>
    <t>₹1,35,020</t>
  </si>
  <si>
    <t>Pearl White, Black</t>
  </si>
  <si>
    <t>On-road Delhi price stated by TVS: ₹1,60,026.</t>
  </si>
  <si>
    <t>₹1,48,620</t>
  </si>
  <si>
    <t>Matte Black (TFT, USD variant), Black/Red, Black/Neon, Black/White, White/Blue, White/Red</t>
  </si>
  <si>
    <t>On-road Delhi price stated by TVS: ₹1,74,662. TVS notes on-road price "includes mandatory accessories" and varies by location/invoicing time.</t>
  </si>
  <si>
    <t>₹2,42,000 onwards (approx.)</t>
  </si>
  <si>
    <t>Ex-showroom, per TVS meta description — TVS's page indicates 3 variants exist but did not expose each variant's name/price in the fetched content.</t>
  </si>
  <si>
    <t>Fiery Red, Arsenal Black, Fury Yellow, Sepang Blue (Built-to-Order styling kit with racing-heritage decals)</t>
  </si>
  <si>
    <t>Re-check tvsmotor.com/tvs-apache/apache-rtr-310 directly for full per-variant pricing and city-specific figures.</t>
  </si>
  <si>
    <t>Arsenal Black Base (without quickshifter)</t>
  </si>
  <si>
    <t>₹2,25,000 (approx.)</t>
  </si>
  <si>
    <t>Ex-showroom "from" figure (Source: 91Wheels, secondary — NOTE: this differs from the ~₹2,42,000 starting figure taken from TVS's own page meta-description; both are shown because neither could be fully reconciled from the content fetched. Re-verify directly with a dealer.)</t>
  </si>
  <si>
    <t>Anniversary Edition (top)</t>
  </si>
  <si>
    <t>₹2,90,000 (approx.)</t>
  </si>
  <si>
    <t>Ex-showroom "up to" figure (Source: 91Wheels, secondary)</t>
  </si>
  <si>
    <t>Premium</t>
  </si>
  <si>
    <t>₹2,59,990</t>
  </si>
  <si>
    <t>Ex-showroom, as separately shown in page metadata — reconcile against the "onwards" figure below before quoting to a customer.</t>
  </si>
  <si>
    <t>Red (base variant) and an Anniversary Edition livery confirmed; TVS's own full colour palette not separately re-confirmed (Source: 91Wheels, secondary)</t>
  </si>
  <si>
    <t>On-road Delhi price stated by TVS: ₹2,99,102 onwards.</t>
  </si>
  <si>
    <t>₹2,62,240 onwards</t>
  </si>
  <si>
    <t>Ex-showroom, Delhi — TVS's main listed starting price. NOTE: this figure and the "Premium" variant figure above are inconsistent in the source content fetched; both are reproduced as found rather than reconciled, and should be re-verified directly on tvsmotor.com or with a dealer before use.</t>
  </si>
  <si>
    <t>Base (Red)</t>
  </si>
  <si>
    <t>₹2,62,000 (approx.)</t>
  </si>
  <si>
    <t>Ex-showroom starting figure (Source: 91Wheels, secondary — corroborates TVS's own "₹2,62,240 onwards" figure)</t>
  </si>
  <si>
    <t>Top variant</t>
  </si>
  <si>
    <t>₹3,15,000 (approx.)</t>
  </si>
  <si>
    <t>₹1,99,000 (introductory price)</t>
  </si>
  <si>
    <t>3 variants stated by TVS; individual variant names/prices not resolved from the fetched content.</t>
  </si>
  <si>
    <t>Viper Green, Metallic Blue, Pearl White, Lightning Black, Tarn Bronze</t>
  </si>
  <si>
    <t>As of the access date, TVS is only taking refundable bookings (₹1,999 booking amount) for the RTX. TVS states deliveries for bookings made on/after 1 September 2026 will commence from 15 February 2027 onwards — so this is a pre-launch/pre-delivery model at the time of research, not yet available to buy outright.</t>
  </si>
  <si>
    <t>Base</t>
  </si>
  <si>
    <t>₹1,99,000</t>
  </si>
  <si>
    <t>Ex-showroom (Source: BikeWale, cross-checked with 91Wheels, secondary — matches TVS's own introductory price)</t>
  </si>
  <si>
    <t>₹2,14,059</t>
  </si>
  <si>
    <t>Built To Order (BTO)</t>
  </si>
  <si>
    <t>₹2,34,059</t>
  </si>
  <si>
    <t>Ex-showroom (Source: BikeWale, cross-checked with 91Wheels, secondary)</t>
  </si>
  <si>
    <t>Engine, Powertrain &amp; Performance</t>
  </si>
  <si>
    <t>Spec sections 5 &amp; 6 — All figures as published by TVS on each model's official page/brochure.</t>
  </si>
  <si>
    <t>Displacement (cc)</t>
  </si>
  <si>
    <t>Engine type / cooling / fuel system</t>
  </si>
  <si>
    <t>Valves</t>
  </si>
  <si>
    <t>Fuel system detail</t>
  </si>
  <si>
    <t>Emission standard</t>
  </si>
  <si>
    <t>Bore x Stroke</t>
  </si>
  <si>
    <t>Compression ratio</t>
  </si>
  <si>
    <t>Max power</t>
  </si>
  <si>
    <t>Max torque</t>
  </si>
  <si>
    <t>Transmission</t>
  </si>
  <si>
    <t>Clutch</t>
  </si>
  <si>
    <t>Starting</t>
  </si>
  <si>
    <t>Top speed (claimed)</t>
  </si>
  <si>
    <t>0-60 km/h (claimed)</t>
  </si>
  <si>
    <t>Power-to-weight</t>
  </si>
  <si>
    <t>109.7</t>
  </si>
  <si>
    <t>4-stroke Duralife engine, single-cylinder, air-cooled</t>
  </si>
  <si>
    <t>Eco-Thrust Fuel Injection (EFI)</t>
  </si>
  <si>
    <t>BS VI</t>
  </si>
  <si>
    <t>53.5 mm x 48.8 mm</t>
  </si>
  <si>
    <t>10.0:1</t>
  </si>
  <si>
    <t>6.03 kW (8.08 bhp) @ 7350 rpm</t>
  </si>
  <si>
    <t>8.7 Nm @ 4500 rpm</t>
  </si>
  <si>
    <t>4-speed constant mesh</t>
  </si>
  <si>
    <t>Wet, multi-plate</t>
  </si>
  <si>
    <t>Self-start &amp; kick-start</t>
  </si>
  <si>
    <t>90 km/h (Source: BikeWale, secondary)</t>
  </si>
  <si>
    <t>Single-cylinder, 4-stroke, air-cooled</t>
  </si>
  <si>
    <t>ET-Fi (Eco Thrust Fuel Injection)</t>
  </si>
  <si>
    <t>8.08 bhp (6.03 kW) @ 7350 rpm</t>
  </si>
  <si>
    <t>4-speed constant mesh, all-up shift pattern</t>
  </si>
  <si>
    <t>Wet, multiple-disc</t>
  </si>
  <si>
    <t>Self-start only, no kick-start (Source: BikeWale, secondary)</t>
  </si>
  <si>
    <t>90 km/h (TVS-stated)</t>
  </si>
  <si>
    <t>Not published by TVS or by the secondary sources checked.</t>
  </si>
  <si>
    <t>Single-cylinder, 4-stroke, fuel-injected, air-cooled, spark ignition</t>
  </si>
  <si>
    <t>Fuel injection</t>
  </si>
  <si>
    <t>BS VI (implied by fuel-injection generation; not explicitly restated on this page)</t>
  </si>
  <si>
    <t>6.03 kW @ 7350 rpm (8.08 bhp)</t>
  </si>
  <si>
    <t>Self-start (ES and ES+ variants); no kick-start (Source: BikeWale, secondary)</t>
  </si>
  <si>
    <t>124.8</t>
  </si>
  <si>
    <t>Single-cylinder, SI, air &amp; oil-cooled, 3-valve</t>
  </si>
  <si>
    <t>10.3:1 (Source: BikeWale, secondary)</t>
  </si>
  <si>
    <t>8.37 kW @ 7500 rpm</t>
  </si>
  <si>
    <t>11.2 Nm @ 6000 rpm (11.75 Nm @ 6000 rpm on iGO Assist variant)</t>
  </si>
  <si>
    <t>5-speed (1-N-2-3-4-5)</t>
  </si>
  <si>
    <t>Wet, multi-plate (Source: BikeWale, secondary)</t>
  </si>
  <si>
    <t>ISG Silent Start (on connected variants)</t>
  </si>
  <si>
    <t>99 km/h (Source: BikeWale, secondary)</t>
  </si>
  <si>
    <t>5.8 seconds</t>
  </si>
  <si>
    <t>225.9</t>
  </si>
  <si>
    <t>Single-cylinder, 4-stroke, 4-valve, SOHC, oil-cooled</t>
  </si>
  <si>
    <t>BS VI (implied; not explicitly restated on this page)</t>
  </si>
  <si>
    <t>66 mm x 66 mm</t>
  </si>
  <si>
    <t>10.14 ± 0.5 : 1 (Source: BikeWale, secondary)</t>
  </si>
  <si>
    <t>15.01 kW (20.4 PS) @ 7750 rpm</t>
  </si>
  <si>
    <t>19.93 Nm @ 3750 rpm</t>
  </si>
  <si>
    <t>5-speed</t>
  </si>
  <si>
    <t>Assist &amp; slipper</t>
  </si>
  <si>
    <t>Self-start with "Silent Start" ISG feature (Source: BikeWale, secondary)</t>
  </si>
  <si>
    <t>120 km/h (Source: BikeWale, secondary)</t>
  </si>
  <si>
    <t>159.7</t>
  </si>
  <si>
    <t>SI, 4-stroke, air-cooled, SOHC, fuel injection (RT-Fi / Bosch closed-loop)</t>
  </si>
  <si>
    <t>2 per cylinder</t>
  </si>
  <si>
    <t>Bosch closed-loop fuel injection (RT-Fi)</t>
  </si>
  <si>
    <t>10.0:1 (Source: BikeWale, secondary)</t>
  </si>
  <si>
    <t>Sport mode: 16.04 PS @ 8750 rpm | Urban/Rain: 13.32 PS @ 8000 rpm</t>
  </si>
  <si>
    <t>Sport: 13.85 Nm @ 7000 rpm | Urban/Rain: 12.7 Nm @ 6500 rpm</t>
  </si>
  <si>
    <t>5-speed manual</t>
  </si>
  <si>
    <t>Electric start</t>
  </si>
  <si>
    <t>Sport 107 km/h | Urban/Rain 97 km/h</t>
  </si>
  <si>
    <t>5.3 seconds</t>
  </si>
  <si>
    <t>0.0855-0.0861 kW/kg</t>
  </si>
  <si>
    <t>SI, 4-stroke, oil-cooled, SOHC, fuel injection</t>
  </si>
  <si>
    <t>4 per cylinder</t>
  </si>
  <si>
    <t>Bosch closed-loop fuel injection</t>
  </si>
  <si>
    <t>Sport: 17.55 PS @ 9250 rpm | Urban/Rain: 15.64 PS @ 8650 rpm</t>
  </si>
  <si>
    <t>Sport: 14.73 Nm @ 7500 rpm | Urban/Rain: 14.14 Nm @ 7250 rpm</t>
  </si>
  <si>
    <t>Assist &amp; slipper clutch</t>
  </si>
  <si>
    <t>Sport 114 km/h | Urban/Rain 103 km/h</t>
  </si>
  <si>
    <t>0.09 kW/kg</t>
  </si>
  <si>
    <t>177.4</t>
  </si>
  <si>
    <t>SI, 4-stroke, oil-cooled, fuel-injected (RT-Fi)</t>
  </si>
  <si>
    <t>Sport: 17.02 PS @ 9000 rpm | Urban/Rain: 14.54 PS @ 8200 rpm</t>
  </si>
  <si>
    <t>Sport: 15.5 Nm @ 7000 rpm | Urban/Rain: 14.2 Nm @ 6000 rpm</t>
  </si>
  <si>
    <t>113 km/h</t>
  </si>
  <si>
    <t>4.8 seconds</t>
  </si>
  <si>
    <t>197.75</t>
  </si>
  <si>
    <t>4</t>
  </si>
  <si>
    <t>Sport: 15.32 kW (20.82 PS) @ 9000 rpm | Urban/Rain: 12.74 kW (17.32 PS) @ 7800 rpm</t>
  </si>
  <si>
    <t>Sport: 17.25 Nm @ 7250 rpm | Urban/Rain: 16.51 Nm @ 5750 rpm</t>
  </si>
  <si>
    <t>Wet multi-plate (5-plate), race-tuned slipper clutch with assist</t>
  </si>
  <si>
    <t>Sport 127 km/h | Urban/Rain 105 km/h</t>
  </si>
  <si>
    <t>3.9 seconds</t>
  </si>
  <si>
    <t>0.1 kW/kg</t>
  </si>
  <si>
    <t>312.2</t>
  </si>
  <si>
    <t>Reverse-inclined DOHC, liquid-cooled (23-row radiator), race-mapped fuel injection with throttle-by-wire</t>
  </si>
  <si>
    <t>Race-mapped fuel injection, throttle-by-wire</t>
  </si>
  <si>
    <t>12.17:1 (Source: BikeWale, secondary)</t>
  </si>
  <si>
    <t>35.08-35.59 bhp/PS @ 9,700 rpm (BikeWale states 35.08 bhp; 91Wheels states 35.59 PS — same figure within normal bhp/PS rounding, secondary)</t>
  </si>
  <si>
    <t>28.7 Nm @ 6,650 rpm (Source: BikeWale, cross-checked with 91Wheels, secondary)</t>
  </si>
  <si>
    <t>6-speed with bi-directional quickshifter</t>
  </si>
  <si>
    <t>Race-tuned slipper clutch with assist function; forged aluminium pistons (TVS states 5% lighter than standard)</t>
  </si>
  <si>
    <t>150 km/h (Source: BikeWale, secondary)</t>
  </si>
  <si>
    <t>Reverse-inclined DOHC, liquid-cooled with oil-coolant technology</t>
  </si>
  <si>
    <t>Electronic fuel injection with throttle-by-wire</t>
  </si>
  <si>
    <t>38 PS @ 9800 rpm</t>
  </si>
  <si>
    <t>29 Nm @ 7,900 rpm (Source: 91Wheels, secondary; consistent with TVS's own 38 PS @ 9,800 rpm power figure)</t>
  </si>
  <si>
    <t>Race-tuned slipper clutch</t>
  </si>
  <si>
    <t>160 km/h (Source: 91Wheels, secondary)</t>
  </si>
  <si>
    <t>2.82 seconds</t>
  </si>
  <si>
    <t>299.1</t>
  </si>
  <si>
    <t>Single-cylinder, liquid-cooled, 4-stroke, DOHC</t>
  </si>
  <si>
    <t>4 valves (Source: BikeWale, secondary)</t>
  </si>
  <si>
    <t>Fuel injection with ride-by-wire throttle</t>
  </si>
  <si>
    <t>BS VI (implied; not explicitly restated on pages fetched)</t>
  </si>
  <si>
    <t>78 mm x 62.6 mm (Source: BikeWale, secondary)</t>
  </si>
  <si>
    <t>11.6:1 (Source: BikeWale, secondary)</t>
  </si>
  <si>
    <t>36 PS @ 9000 rpm</t>
  </si>
  <si>
    <t>28.5 Nm @ 7000 rpm</t>
  </si>
  <si>
    <t>6-speed manual, constant mesh, with bi-directional quickshifter</t>
  </si>
  <si>
    <t>130 km/h (Urban/Rain modes) | 139 km/h (Tour/Rally modes) — per Owner's Manual</t>
  </si>
  <si>
    <t>Spec section 8 — As published on each model's official specification page.</t>
  </si>
  <si>
    <t>Length (mm)</t>
  </si>
  <si>
    <t>Width (mm)</t>
  </si>
  <si>
    <t>Height (mm)</t>
  </si>
  <si>
    <t>Wheelbase (mm)</t>
  </si>
  <si>
    <t>Ground clearance (mm)</t>
  </si>
  <si>
    <t>Seat height (mm)</t>
  </si>
  <si>
    <t>Kerb weight (kg)</t>
  </si>
  <si>
    <t>Fuel tank capacity (L)</t>
  </si>
  <si>
    <t>2025</t>
  </si>
  <si>
    <t>705</t>
  </si>
  <si>
    <t>1080</t>
  </si>
  <si>
    <t>1265</t>
  </si>
  <si>
    <t>180</t>
  </si>
  <si>
    <t>Not published by TVS or by the secondary sources checked (BikeWale, 91Wheels) — this field remains genuinely unresolved.</t>
  </si>
  <si>
    <t>113 (Drum) / 115 (Disc)</t>
  </si>
  <si>
    <t>10</t>
  </si>
  <si>
    <t>1984</t>
  </si>
  <si>
    <t>750 (across handlebar)</t>
  </si>
  <si>
    <t>1260</t>
  </si>
  <si>
    <t>172</t>
  </si>
  <si>
    <t>785 (Source: BikeWale, secondary)</t>
  </si>
  <si>
    <t>115 (Drum) / 116 (Disc)</t>
  </si>
  <si>
    <t>10 (engine oil capacity 1 L)</t>
  </si>
  <si>
    <t>1950</t>
  </si>
  <si>
    <t>1236</t>
  </si>
  <si>
    <t>175</t>
  </si>
  <si>
    <t>112</t>
  </si>
  <si>
    <t>2070</t>
  </si>
  <si>
    <t>785</t>
  </si>
  <si>
    <t>1028</t>
  </si>
  <si>
    <t>1326</t>
  </si>
  <si>
    <t>180 (unladen)</t>
  </si>
  <si>
    <t>123-125 (varies by variant)</t>
  </si>
  <si>
    <t>2040</t>
  </si>
  <si>
    <t>805</t>
  </si>
  <si>
    <t>1170</t>
  </si>
  <si>
    <t>1357</t>
  </si>
  <si>
    <t>181</t>
  </si>
  <si>
    <t>795</t>
  </si>
  <si>
    <t>160</t>
  </si>
  <si>
    <t>14</t>
  </si>
  <si>
    <t>2085</t>
  </si>
  <si>
    <t>730</t>
  </si>
  <si>
    <t>1105</t>
  </si>
  <si>
    <t>1300</t>
  </si>
  <si>
    <t>790</t>
  </si>
  <si>
    <t>137-139 (varies by variant)</t>
  </si>
  <si>
    <t>12</t>
  </si>
  <si>
    <t>2035</t>
  </si>
  <si>
    <t>1050 (no visor) / 1111 (with visor)</t>
  </si>
  <si>
    <t>800</t>
  </si>
  <si>
    <t>143 (Single-Channel ABS) / 146 (Dual-Channel ABS with USD/TFT)</t>
  </si>
  <si>
    <t>140 (with 90% fuel and toolkit)</t>
  </si>
  <si>
    <t>2020</t>
  </si>
  <si>
    <t>820</t>
  </si>
  <si>
    <t>1050</t>
  </si>
  <si>
    <t>1353</t>
  </si>
  <si>
    <t>151</t>
  </si>
  <si>
    <t>12 (+ 2.5 L reserve)</t>
  </si>
  <si>
    <t>Not published by TVS or by the secondary sources checked (BikeWale's own L/W/H fields were also blank for this model).</t>
  </si>
  <si>
    <t>1,358 (Source: BikeWale, cross-checked with 91Wheels, secondary)</t>
  </si>
  <si>
    <t>180 (Source: BikeWale, cross-checked with 91Wheels, secondary)</t>
  </si>
  <si>
    <t>800 (Source: BikeWale, cross-checked with 91Wheels, secondary)</t>
  </si>
  <si>
    <t>169 (Source: BikeWale, cross-checked with 91Wheels, secondary)</t>
  </si>
  <si>
    <t>11 (Source: BikeWale, cross-checked with 91Wheels, secondary)</t>
  </si>
  <si>
    <t>1,365 (Source: BikeWale, cross-checked with 91Wheels, secondary)</t>
  </si>
  <si>
    <t>810 (Source: BikeWale, cross-checked with 91Wheels, secondary)</t>
  </si>
  <si>
    <t>174 (Source: BikeWale, cross-checked with 91Wheels, secondary)</t>
  </si>
  <si>
    <t>2,176 (Source: BikeWale, cross-checked with 91Wheels, secondary)</t>
  </si>
  <si>
    <t>885 (Source: BikeWale, cross-checked with 91Wheels, secondary)</t>
  </si>
  <si>
    <t>1,400 (Source: BikeWale, cross-checked with 91Wheels, secondary)</t>
  </si>
  <si>
    <t>1,430 (Source: BikeWale, cross-checked with 91Wheels, secondary)</t>
  </si>
  <si>
    <t>200 (Source: BikeWale, cross-checked with 91Wheels, secondary)</t>
  </si>
  <si>
    <t>TVS describes a "low seat height for confident control" without a numeric figure captured</t>
  </si>
  <si>
    <t>~10.2 (approximate, derived from Owner's Manual fuel-warning reference; low-fuel warning triggers at ~2.2 L remaining)</t>
  </si>
  <si>
    <t>Brakes, ABS, Tyres &amp; Safety Systems</t>
  </si>
  <si>
    <t>Spec section 10 — Factual specifications only; this tab intentionally avoids ranking any bike as "safest" — compare the columns directly.</t>
  </si>
  <si>
    <t>Front brake</t>
  </si>
  <si>
    <t>Rear brake</t>
  </si>
  <si>
    <t>ABS / braking-safety system</t>
  </si>
  <si>
    <t>Front tyre</t>
  </si>
  <si>
    <t>Rear tyre</t>
  </si>
  <si>
    <t>Wheels</t>
  </si>
  <si>
    <t>130 mm drum (standard) / 240 mm disc (Digi Disc variant)</t>
  </si>
  <si>
    <t>110 mm drum</t>
  </si>
  <si>
    <t>No ABS; Synchronized Braking Technology (SBT) fitted</t>
  </si>
  <si>
    <t>2.75 x 18, tubeless</t>
  </si>
  <si>
    <t>3.00 x 18, tubeless</t>
  </si>
  <si>
    <t>5-spoke alloy, 18"</t>
  </si>
  <si>
    <t>240 mm disc (roto petal design) or 130 mm drum</t>
  </si>
  <si>
    <t>No ABS; Synchro (simultaneous) braking technology</t>
  </si>
  <si>
    <t>2.75 x 17 41P 4PR, tubeless</t>
  </si>
  <si>
    <t>3.0 x 17 50P 6PR, tubeless</t>
  </si>
  <si>
    <t>Alloy, 17" front and rear (Source: BikeWale, secondary)</t>
  </si>
  <si>
    <t>Drum (Source: BikeWale, secondary)</t>
  </si>
  <si>
    <t>No ABS; Synchronized Braking Technology (SBT) only (Source: BikeWale, secondary)</t>
  </si>
  <si>
    <t>2.75-17, tube-type (Source: BikeWale, secondary)</t>
  </si>
  <si>
    <t>2.75-17 or 3.00-17, tube-type (Source: BikeWale, secondary)</t>
  </si>
  <si>
    <t>Spoke wheels, 17" (Source: BikeWale, secondary)</t>
  </si>
  <si>
    <t>130 mm drum, or 240 mm disc (optional single-channel ABS)</t>
  </si>
  <si>
    <t>130 mm drum (Synchro/SBT) or 200 mm disc</t>
  </si>
  <si>
    <t>Single-channel ABS on disc+ABS variant; SBT on drum variants</t>
  </si>
  <si>
    <t>80/100-17 or 90/90-17, tubeless</t>
  </si>
  <si>
    <t>100/90-17 or 110/80-17, tubeless</t>
  </si>
  <si>
    <t>300 mm disc</t>
  </si>
  <si>
    <t>240 mm disc</t>
  </si>
  <si>
    <t>Dual-channel ABS with Rain &amp; Urban ABS modes</t>
  </si>
  <si>
    <t>110/70-17, tubeless</t>
  </si>
  <si>
    <t>130/70-17, tubeless</t>
  </si>
  <si>
    <t>9-spoke alloy</t>
  </si>
  <si>
    <t>270 mm petal disc</t>
  </si>
  <si>
    <t>Top variant: 240 mm petal disc | Base: 200 mm petal disc or 130 mm drum</t>
  </si>
  <si>
    <t>Dual-channel ABS (top variant) / Single-channel Super-Moto ABS (base disc variant)</t>
  </si>
  <si>
    <t>90/90-17, tubeless</t>
  </si>
  <si>
    <t>110/80-17 or 120/70-17, tubeless</t>
  </si>
  <si>
    <t>240 mm petal disc</t>
  </si>
  <si>
    <t>Dual-channel ABS with Rear-wheel Lift-off Protection (RLP)</t>
  </si>
  <si>
    <t>90/90-17 49P, tubeless</t>
  </si>
  <si>
    <t>130/70 R17 62P, radial, tubeless</t>
  </si>
  <si>
    <t>200 mm petal disc</t>
  </si>
  <si>
    <t>Single-channel Super-Moto ABS</t>
  </si>
  <si>
    <t>120/70-17, tubeless</t>
  </si>
  <si>
    <t>Dual-Channel ABS with Rear-wheel Lift-off Protection (RLP)</t>
  </si>
  <si>
    <t>Disc, dual-channel ABS (exact disc diameter not published by the secondary sources checked either)</t>
  </si>
  <si>
    <t>Dual-channel ABS with multiple ride-mode-linked calibrations, including cornering ABS as part of the optional "Dynamic Pro Kit"</t>
  </si>
  <si>
    <t>17-inch, tubeless (exact size code not published; BikeWale, secondary)</t>
  </si>
  <si>
    <t>Disc, dual-channel/switchable ABS (exact disc diameter not published by the secondary sources checked either)</t>
  </si>
  <si>
    <t>Dual-channel ABS with rear-wheel lift-off protection</t>
  </si>
  <si>
    <t>17-inch, tubeless, alloy wheel (Source: BikeWale/91Wheels, secondary)</t>
  </si>
  <si>
    <t>320 mm disc, dual-channel ABS (Source: BikeWale, secondary — TVS's own term for the ABS system is "terrain-adaptive ABS")</t>
  </si>
  <si>
    <t>240 mm disc (Source: BikeWale, secondary)</t>
  </si>
  <si>
    <t>"Terrain-adaptive ABS" (TVS's own term; channel configuration and disc sizes not captured)</t>
  </si>
  <si>
    <t>110/80-19, tubeless (Source: BikeWale, secondary)</t>
  </si>
  <si>
    <t>150/70-17, tubeless (Source: BikeWale, secondary)</t>
  </si>
  <si>
    <t>Alloy, 19" front / 17" rear (Source: BikeWale, secondary)</t>
  </si>
  <si>
    <t>Suspension, Chassis &amp; Handling</t>
  </si>
  <si>
    <t>Spec section 11.</t>
  </si>
  <si>
    <t>Frame / chassis</t>
  </si>
  <si>
    <t>Front suspension</t>
  </si>
  <si>
    <t>Rear suspension</t>
  </si>
  <si>
    <t>Telescopic, oil-damped</t>
  </si>
  <si>
    <t>5-step adjustable hydraulic shock absorber</t>
  </si>
  <si>
    <t>Telescopic</t>
  </si>
  <si>
    <t>Monoshock, 5-step adjustable, gas-charged</t>
  </si>
  <si>
    <t>Double cradle split Synchro Stiff frame</t>
  </si>
  <si>
    <t>41 mm upside-down (USD) fork</t>
  </si>
  <si>
    <t>Monoshock, 7-step adjustable preload</t>
  </si>
  <si>
    <t>Double cradle Synchro Stiff</t>
  </si>
  <si>
    <t>Telescopic fork</t>
  </si>
  <si>
    <t>Monotube Inverted Gas-filled (MIG), 5-step adjustable</t>
  </si>
  <si>
    <t>Telescopic fork (Single-Channel ABS variant) / 37 mm upside-down (USD) fork (top variant)</t>
  </si>
  <si>
    <t>Monoshock</t>
  </si>
  <si>
    <t>Monotube Inverted Gas-filled (MIG) with spring aid</t>
  </si>
  <si>
    <t>Double Cradle Split Synchro Stiff Frame (TVS-patented design); TVS claims 25% stability improvement via Multi-Body Dynamics Analysis</t>
  </si>
  <si>
    <t>37 mm upside-down (USD) fork (top variant) / telescopic fork (standard)</t>
  </si>
  <si>
    <t>Monoshock with preload adjuster</t>
  </si>
  <si>
    <t>Hyper-Spec trellis frame with lightweight aluminium sub-frame</t>
  </si>
  <si>
    <t>KYB fork, fully adjustable (preload, compression, rebound damping) — page wording ambiguous between "fork" and "monoshock"; confirm exact component on the official spec sheet</t>
  </si>
  <si>
    <t>KYB monotube floating-piston shock, fully adjustable preload and rebound</t>
  </si>
  <si>
    <t>Lightweight trellis frame (race-derived design)</t>
  </si>
  <si>
    <t>Inverted (upside-down) cartridge telescopic fork (Source: BikeWale, secondary)</t>
  </si>
  <si>
    <t>KYB race-tuned monoshock (monotube floating piston)</t>
  </si>
  <si>
    <t>Steel trellis frame</t>
  </si>
  <si>
    <t>WP inverted cartridge fork, long-travel</t>
  </si>
  <si>
    <t>Mono-tube shock with floating piston (MFP)</t>
  </si>
  <si>
    <t>Technology, Instrumentation &amp; Connectivity</t>
  </si>
  <si>
    <t>Spec section 12.</t>
  </si>
  <si>
    <t>Instrument cluster</t>
  </si>
  <si>
    <t>Ride modes</t>
  </si>
  <si>
    <t>Connectivity (SmartXonnect etc.)</t>
  </si>
  <si>
    <t>Other technology / features</t>
  </si>
  <si>
    <t>Lighting</t>
  </si>
  <si>
    <t>Analog speedometer (Base Edition) / Digital reverse-LCD cluster with real-time mileage, clock, service indicator, low-fuel indication (Digi-Cluster Edition)</t>
  </si>
  <si>
    <t>No SmartXonnect app support. USB charger and side-stand beeper available but not standard on all variants.</t>
  </si>
  <si>
    <t>12V 35/35W multi-reflector headlamp with 5W LED DRL; matching tail lamp</t>
  </si>
  <si>
    <t>Multi-function cluster with econometer, service reminder, malfunction indicator</t>
  </si>
  <si>
    <t>USB mobile charger available; no app connectivity mentioned</t>
  </si>
  <si>
    <t>LED headlamp, 11W, with integrated DRL; 5W/10W tail-stop lamp</t>
  </si>
  <si>
    <t>Fully analogue: speedometer, odometer, fuel gauge, low-fuel/hazard/high-beam/malfunction indicators — no digital display (Source: BikeWale, secondary)</t>
  </si>
  <si>
    <t>None — no Bluetooth, navigation, or USB charging confirmed on base variants (Source: BikeWale, secondary)</t>
  </si>
  <si>
    <t>12V HS1 35/35W headlamp</t>
  </si>
  <si>
    <t>TFT ("99+ connected features", top variant) or LCD ("85+ connected features")</t>
  </si>
  <si>
    <t>TVS SmartXonnect: navigation, notifications, low-fuel alerts, voice assist</t>
  </si>
  <si>
    <t>Glide Through Technology (GTT, TVS-claimed segment-first on this model), ride modes Boost/Power/Eco, engine oil TVS TRU4 4T 10W30 (1000 ml capacity)</t>
  </si>
  <si>
    <t>LED headlamp with "Follow Me Home" function (TVS claims segment-first) and LED taillight</t>
  </si>
  <si>
    <t>Fully digital, connected speedometer with digital fuel gauge, gear-shift indicator, distance-to-empty</t>
  </si>
  <si>
    <t>TVS SmartXonnect: Bluetooth, voice assist, ride analysis/planning, social-media integration, last-parked-location tracking, call/SMS alerts</t>
  </si>
  <si>
    <t>LED AHO headlamp with signature "T"-shaped position lamp; LED tail and turn signals</t>
  </si>
  <si>
    <t>Digital cluster with lap timer</t>
  </si>
  <si>
    <t>3: Urban, Rain, Sport</t>
  </si>
  <si>
    <t>TVS SmartXonnect: Bluetooth, voice assist, navigation, crash alert</t>
  </si>
  <si>
    <t>Glide Through Technology (GTT), Dual-Channel ABS</t>
  </si>
  <si>
    <t>LED headlamp, always-on position lamp (AHO); LED tail lamp</t>
  </si>
  <si>
    <t>Analog meter (base) or 5-inch TFT (USD-with-TFT variant) with ride telemetry, turn-by-turn navigation, ride analytics</t>
  </si>
  <si>
    <t>3: Sport, Urban, Rain</t>
  </si>
  <si>
    <t>TVS SmartXonnect (Bluetooth); traction control on the USD-with-TFT variant</t>
  </si>
  <si>
    <t>Hydroformed handlebar, race-tuned slipper clutch, racing bull-pup exhaust, Glide Through Technology</t>
  </si>
  <si>
    <t>Class-D projector headlamp with signature LED light blades; LED turn signals</t>
  </si>
  <si>
    <t>Part-digital: digital speedometer/odometer/fuel gauge with an analogue tachometer (Source: BikeWale, secondary)</t>
  </si>
  <si>
    <t>TVS SmartXonnect: Bluetooth, voice assist, navigation</t>
  </si>
  <si>
    <t>Alcantara racing seat, Glide Through Technology (GTT), RT-Fi fuel injection</t>
  </si>
  <si>
    <t>5-inch TFT colour display with race telemetry, turn-by-turn navigation, ride analytics</t>
  </si>
  <si>
    <t>TVS SmartXonnect (Bluetooth)</t>
  </si>
  <si>
    <t>Traction control (USD/TFT variant), Glide Through Technology (1st gear up to 7 km/h, 2nd up to 12 km/h, 3rd up to 17 km/h), gold-finished front forks, adjustable brake/clutch levers</t>
  </si>
  <si>
    <t>Class-D projector headlamp with LED signature DRL; LED turn indicators and tail lamp</t>
  </si>
  <si>
    <t>5-inch horizontal TFT touch race computer</t>
  </si>
  <si>
    <t>5: Urban, Rain, Sport, Track, Supermoto</t>
  </si>
  <si>
    <t>TVS SmartXonnect: post-ride analytics, voice assist, What3Words location, race telemetry, telephony (call accept/reject, DND, SMS), Digi Docs (store RC/licence), crash alert (notifies contacts within 180 seconds of a detected crash), Bluetooth music playback, GoPro control</t>
  </si>
  <si>
    <t>Linear Stability Control with cruise control; race-tuned Linear Traction Control; Race-Tuned Dynamic Stability Control (RTDSC) using a 6-axis IMU (TVS claims segment/class-first); optional "Dynamic Pro Kit": launch control, cornering ABS, drag torque control, cornering traction control, wheelie control, slope-dependent control, rear-wheel lift-off protection, cornering cruise control; keyless ride; Glide Through Technology; Tyre Pressure Monitoring System (with Dynamic Kit)</t>
  </si>
  <si>
    <t>Adaptive Bi-LED "Cyborg" headlamp with sequential 5-LED signature lamp</t>
  </si>
  <si>
    <t>SmartXonnect-enabled Multi-Information Race Computer</t>
  </si>
  <si>
    <t>4: Urban, Rain, Sport, Track</t>
  </si>
  <si>
    <t>TVS SmartXonnect with race analytics</t>
  </si>
  <si>
    <t>Throttle-by-wire; race-tuned slipper clutch; TVS states "first-in-segment" winglets providing ~3 kg of downforce; Digi Docs; "Glide Through Technology Plus" (GTT+); dynamic rev-limit indicator; overspeed warning</t>
  </si>
  <si>
    <t>5-inch TFT display with Bluetooth and smartphone map-mirroring</t>
  </si>
  <si>
    <t>4: Urban, Rain, Tour, Rally (engine speed electronically limited to 10,400 rpm in Rally mode per Owner's Manual)</t>
  </si>
  <si>
    <t>Bluetooth, map mirroring (SmartXonnect ecosystem)</t>
  </si>
  <si>
    <t>Cruise control; bi-directional quickshifter; traction control and wheelie mitigation; optional Tyre Pressure Monitoring System (TPMS)</t>
  </si>
  <si>
    <t>Class-D headlamp with DRLs and a "welcome animation"</t>
  </si>
  <si>
    <t>Spec sections 9 &amp; 13 — Only factual, manufacturer-published items are listed. Subjective comfort qualities are explicitly marked as not assessed rather than inferred from marketing copy.</t>
  </si>
  <si>
    <t>Seat / ergonomics notes (from spec sheet)</t>
  </si>
  <si>
    <t>Battery</t>
  </si>
  <si>
    <t>Practical extras (USB, storage, side-stand cut-off etc.)</t>
  </si>
  <si>
    <t>Subjective comfort (ride quality, vibration, wind protection)</t>
  </si>
  <si>
    <t>12V, 4Ah, maintenance-free</t>
  </si>
  <si>
    <t>USB charging mentioned</t>
  </si>
  <si>
    <t>Not assessed — no independent/owner-survey source used in this official-only workbook. TVS's own marketing adjectives (e.g. "confident control") are excluded here as non-factual.</t>
  </si>
  <si>
    <t>12V, 3Ah</t>
  </si>
  <si>
    <t>12V, 5Ah, maintenance-free</t>
  </si>
  <si>
    <t>TVS states a complimentary TVS XPOD helmet is included in select states.</t>
  </si>
  <si>
    <t>12V, 6Ah</t>
  </si>
  <si>
    <t>Use-Case Positioning — TVS's Own Marketing Framing</t>
  </si>
  <si>
    <t>Spec section 14. IMPORTANT: this tab reflects how TVS itself describes each model's intended use in its own marketing copy — it is NOT an independent test-based suitability rating, and should be labelled as such if reused downstream.</t>
  </si>
  <si>
    <t>TVS's own stated positioning / intended use</t>
  </si>
  <si>
    <t>Positioned by TVS as a value-focused daily commuter — city riding, fuel economy, low running cost. Not positioned by TVS for highway/touring use.</t>
  </si>
  <si>
    <t>Positioned by TVS as a premium step-up commuter — city + occasional longer commute, styling and feature-led.</t>
  </si>
  <si>
    <t>Positioned by TVS as an entry-level economy commuter for short city trips and fuel efficiency.</t>
  </si>
  <si>
    <t>Positioned by TVS as a youth-oriented sporty commuter — city riding with connected/digital features as a key draw.</t>
  </si>
  <si>
    <t>Positioned by TVS as a neo-retro roadster for lifestyle/self-expression riders — city cruising and occasional weekend touring implied by touring-accessory range (rear rack, backrest, touring kits sold officially), not marketed as a highway tourer outright.</t>
  </si>
  <si>
    <t>Positioned by TVS as the entry point into the performance Apache range — city + spirited riding at an accessible price.</t>
  </si>
  <si>
    <t>Positioned by TVS as a step up in performance over the RTR 160 2V within the same city/performance-commuter use case.</t>
  </si>
  <si>
    <t>Positioned by TVS as a mid-range performance naked bike for riders wanting more power than the 160 class, still city/urban-oriented.</t>
  </si>
  <si>
    <t>Positioned by TVS as a street-dominant naked streetfighter — performance-oriented urban and occasional highway riding.</t>
  </si>
  <si>
    <t>Positioned by TVS as its flagship naked streetfighter — performance/track-adjacent riding (TVS sells an optional "Dynamic Pro Kit" and BTO racing-styled trim), with the 5 ride modes including a dedicated Track mode.</t>
  </si>
  <si>
    <t>Positioned by TVS explicitly as "the ultimate track weapon" — performance/track riding is TVS's own stated primary use case, with a dedicated Track ride mode.</t>
  </si>
  <si>
    <t>Positioned by TVS as an "adventure rally tourer" — long-distance touring and light off-road/rally-style riding, per its Tour and Rally ride modes and touring accessory range (top box, panniers, bash plate sold officially).</t>
  </si>
  <si>
    <t>Spec sections 15 &amp; 17. Brand-level policy: Motorcycles 5 yrs/60,000 km; Apache RR 310 is called out separately by TVS at 5 yrs/50,000 km (BSVI variants only). See 'Brand &amp; Company' tab for the full official Warranty Policy summary.</t>
  </si>
  <si>
    <t>Warranty (as stated for this model / brand policy)</t>
  </si>
  <si>
    <t>Published service schedule</t>
  </si>
  <si>
    <t>5 years or 60,000 km (whichever first) — matches TVS's brand-level motorcycle warranty</t>
  </si>
  <si>
    <t>5 free services at: 500-750 km/1 month; 2500-3000 km/3 months; 5000-6000 km/6 months; 8500-9000 km/9 months; 11500-12000 km/12 months. Paid service interval: every 3000 km or 3 months thereafter.</t>
  </si>
  <si>
    <t>TVS states "5 years warranty at no additional cost" — consistent with the brand's 5-year/60,000 km motorcycle policy</t>
  </si>
  <si>
    <t>5 free services (exact km/month intervals not published; first service at 500-750 km / 30 days, per BikeWale, secondary)</t>
  </si>
  <si>
    <t>Presumed to follow TVS's brand-level 5 years / 60,000 km motorcycle policy — not separately restated on this model's page; verify at purchase.</t>
  </si>
  <si>
    <t>4 free services (exact intervals not published) (Source: BikeWale, secondary)</t>
  </si>
  <si>
    <t>3 free services (exact intervals not published) (Source: BikeWale, secondary)</t>
  </si>
  <si>
    <t>3 complimentary services at approx. 750-1,000 km, 5,500-6,000 km, and 11,500-12,000 km (Source: BikeWale, secondary)</t>
  </si>
  <si>
    <t>TVS brand-level motorcycle warranty: 5 years or 60,000 km</t>
  </si>
  <si>
    <t>Not confirmed by TVS or by the secondary source checked (BikeWale's own service-interval fields were also blank for this model).</t>
  </si>
  <si>
    <t>Not confirmed by TVS or by the secondary sources checked.</t>
  </si>
  <si>
    <t>5 years or 50,000 km (per TVS's official Warranty Policy page, which calls out the Apache RR 310 specifically — note this differs from the general motorcycle policy of 5 yrs/60,000 km, and TVS states the 5-year cover applies to BSVI variants only)</t>
  </si>
  <si>
    <t>Not separately published on the pages fetched — Owner's Manual references a Warranty &amp; Services section (page 183) whose specific terms were not captured; presumed to follow TVS's brand-level policy but confirm before purchase.</t>
  </si>
  <si>
    <t>Owner's Manual specifies a running-in period for the first 1,000 km (engine speed to be kept below 7,000 rpm, no full-throttle starts/rapid acceleration) and references a detailed maintenance schedule on page 143 of the manual, which was not captured in full.</t>
  </si>
  <si>
    <t>Official TVS Accessories (shop.tvsmotor.com)</t>
  </si>
  <si>
    <t>Spec section 23. Only Ronin and Apache RTX had model-specific accessories confirmed in the fetched catalogue pages at access date; other models may also have official accessories not captured here — check shop.tvsmotor.com directly.</t>
  </si>
  <si>
    <t>Official accessory</t>
  </si>
  <si>
    <t>Price (INR)</t>
  </si>
  <si>
    <t>TVS sells official Ronin touring accessories: Rear Rack (Rs 1,843), Short Touring Kit (Rs 3,042), Long Touring Kit (Rs 3,964), Backrest (2024 or earlier Rs 1,379 / 2025 Edition Rs 2,396), Radiator Guard (Rs 783), Caliper Guard (Rs 714), Lady Pillion Footrest Kit (Rs 547), Tank Grip (Rs 778) — from shop.tvsmotor.com, prices as listed at access date.</t>
  </si>
  <si>
    <t>See note</t>
  </si>
  <si>
    <t>TVS sells official RTX accessories via shop.tvsmotor.com: Top Box Kit (Rs 9,999), Side Pannier Kit (Rs 16,499), Knuckle Guard (Rs 2,099), Tank Guard (Rs 2,999), Aluminium Bash Plate (Rs 5,599), Rear Hugger Fender (Rs 2,399), Visor Extender (Rs 2,999) — prices as listed at access date.</t>
  </si>
  <si>
    <t>Direct Competitors — Per Model</t>
  </si>
  <si>
    <t>Spec section 24. Confirmed via multiple independent secondary comparison articles (BikeWale, ZigWheels, Autocar India, BikeDekho, 91Wheels head-to-head comparison pages), cross-checked 2026-09-05. TVS's own official channels never name or compare against competitors — this list exists only because independent automotive publications routinely cross-shop these models against each other.</t>
  </si>
  <si>
    <t>Direct competitors (secondary-sourced)</t>
  </si>
  <si>
    <t>Hero Splendor Plus, Honda Shine 100 / CD 110 Dream, Hero HF Deluxe</t>
  </si>
  <si>
    <t>Hero Splendor Plus, Honda Shine 100, Bajaj CT110X</t>
  </si>
  <si>
    <t>Honda Shine 100, Hero Splendor Plus, Hero HF Deluxe</t>
  </si>
  <si>
    <t>Honda SP125 / Shine 125, Hero Glamour (incl. Xtec), Bajaj Pulsar 125</t>
  </si>
  <si>
    <t>Honda H'ness CB350, Royal Enfield Hunter 350, Yezdi Roadster</t>
  </si>
  <si>
    <t>Bajaj Pulsar N160/NS160, Hero Xtreme 160R</t>
  </si>
  <si>
    <t>Bajaj Pulsar N160, Hero Xtreme 160R (4V)</t>
  </si>
  <si>
    <t>Bajaj Pulsar 150/180F, Hero Xtreme 160R (cross-shopped one class down)</t>
  </si>
  <si>
    <t>Bajaj Pulsar NS200, Honda Hornet 2.0, KTM 200 Duke, Bajaj Pulsar AS200</t>
  </si>
  <si>
    <t>KTM 250 Duke, Bajaj Dominar 250/400, Honda CB300R</t>
  </si>
  <si>
    <t>KTM RC 250/Duke 250, Bajaj Dominar 400, Honda CB300R</t>
  </si>
  <si>
    <t>KTM 250 Adventure, Royal Enfield Himalayan 450, Hero Xpulse 210</t>
  </si>
  <si>
    <t>Aggregated Customer Sentiment — Per Model</t>
  </si>
  <si>
    <t>Spec section 25. IMPORTANT: everything on this sheet is aggregated OWNER OPINION and independent-reviewer commentary from BikeWale, ZigWheels, and Team-BHP — not a manufacturer-verified fact, and not this workbook's own assessment. Ratings/reviews reflect whichever owners chose to post and are not a scientifically sampled survey. Use this to understand reported real-world experience, not as a specification.</t>
  </si>
  <si>
    <t>Aggregate rating (source)</t>
  </si>
  <si>
    <t>Most common praise</t>
  </si>
  <si>
    <t>Most common complaints</t>
  </si>
  <si>
    <t>4.4/5 (641 ratings, 166 reviews) — BikeWale</t>
  </si>
  <si>
    <t>Attractive retro styling; Strong real-world mileage (60-80 km/l reported); Comfortable, cushioned seat for shorter rides; Solid build quality, no rattles; Stable, planted feel vs. lighter rivals</t>
  </si>
  <si>
    <t>Inconsistent dealer service / parts availability; Needs choke every cold morning start; Weak drum brakes; Stiff/jerky suspension on longer rides; Feels underpowered two-up on inclines</t>
  </si>
  <si>
    <t>4.4/5 (790 ratings, 288 reviews) — BikeWale</t>
  </si>
  <si>
    <t>Attractive design/graphics; Strong fuel efficiency for the price; Affordable in the 100cc segment; Low running/maintenance cost</t>
  </si>
  <si>
    <t>Real-world mileage (50-60 km/l) falls short of the higher marketing claim; Reliability/performance complaints after ~2 years of use; Engine noise and vibration; Weak acceleration off the line; Limited top speed</t>
  </si>
  <si>
    <t>4.4/5 (1,664 ratings, 423 reviews) — BikeWale</t>
  </si>
  <si>
    <t>Exceptional fuel efficiency (70-90 km/l reported); Attractive styling, light 106 kg kerb weight; Smooth gearbox; Comfortable seating and handling; Affordable</t>
  </si>
  <si>
    <t>Real-world mileage undershoots TVS's marketing figure; Vibration above ~65 km/h; Battery quality complaints; Jerky low-speed running reported by some owners; Uncomfortable pillion seat</t>
  </si>
  <si>
    <t>Aggregate star rating not captured; sourced instead from BikeWale's expert Road Test Review</t>
  </si>
  <si>
    <t>Distinctive styling with a muscular tank; Peppy mid-to-high-rev performance; Light (123 kg), agile in traffic; Comfortable sporty ergonomics; Strong ~57 km/l fuel economy; Full LED lighting, informative digital cluster</t>
  </si>
  <si>
    <t>Front brake lacks confidence-inspiring bite; High-beam headlight underwhelming at night; Some cheap-feeling plastic trim (USB cover, switchgear); Occasional false neutrals; Vibration at high revs</t>
  </si>
  <si>
    <t>4.6/5 (1,152 ratings, 353 reviews) — BikeWale</t>
  </si>
  <si>
    <t>Comfort/ergonomics for both city and highway use; Distinctive retro styling — "eye candy on the road"; 40-50 km/l fuel efficiency (up to ~52.5 km/l on highway, per owners); Strong value vs. Royal Enfield Hunter 350; Modern features (ABS, digital cluster, LEDs) feel premium for the price</t>
  </si>
  <si>
    <t>Inconsistent dealer service experience / wait times; Small pillion seat; Occasional gear/chain noise early in ownership; Limited aftermarket accessory stock; Headlight low-beam could be brighter</t>
  </si>
  <si>
    <t>4.5/5 (3,347 ratings, 904 reviews) — BikeWale</t>
  </si>
  <si>
    <t>Strong mid-range pickup "far more than expected @160cc"; Smooth, progressive power delivery; Competitive pricing and low running cost; 40-52 km/l fuel efficiency reported; Sporty, eye-catching looks with LED lighting</t>
  </si>
  <si>
    <t>Engine vibration above ~70 km/h (numb hands on long rides); Aggressive seating position not ideal for casual/long-distance riders; Some units report handlebar/steering shake at moderate speed; Older BS4-era overheating complaints noted in some reviews; Tyre wet-grip concerns raised by some owners</t>
  </si>
  <si>
    <t>4.5/5 (2,328 ratings, 748 reviews) — BikeWale</t>
  </si>
  <si>
    <t>Strong power for the class — "a beast in the ₹1 lakh price range"; 40-50 km/l city, up to 55-61 km/l highway reported; Aggressive, macho styling; Smooth, refined transmission with low vibration; Relatively affordable servicing (~₹1,200/service reported by an owner)</t>
  </si>
  <si>
    <t>Dual-disc variant owners report mileage as low as ~35 km/l; Some owners report front brake/ABS becoming unresponsive after pothole impacts; Rear disc brake noise reported by some owners; Inconsistent service-centre diagnosis quality; Limited colour choice beyond black, per some buyers</t>
  </si>
  <si>
    <t>4.8/5 (23 ratings, 9 reviews — a small sample) — BikeWale</t>
  </si>
  <si>
    <t>Quick throttle response, "best in the 180cc segment" per one reviewer; Sporty dynamic ride quality; LED headlight with DRLs and dual-channel ABS appreciated; Practical touches: leg guards, fog lamps</t>
  </si>
  <si>
    <t>Vibration flagged as the primary drawback by multiple owners; Fuel efficiency (32-45 km/l) seen as a trade-off for the performance; Minor trim durability issues (e.g. mirror rubber) reported</t>
  </si>
  <si>
    <t>Aggregate rating not separately captured here; drawn from BikeWale's long-term FI review</t>
  </si>
  <si>
    <t>Agile and compact for city/traffic use; Engine called "one of the finest iterations" of this powertrain by the reviewer; Low seat height suits varied rider heights; Sticky Pirelli tyres inspire braking/cornering confidence; Works equally as a calm commuter or a spirited performer</t>
  </si>
  <si>
    <t>Sticky gearbox and false neutrals reported, especially in commuting use; Styling described as "outlandish" rather than classically elegant by the reviewer</t>
  </si>
  <si>
    <t>4.8/5 (66 ratings, 15 reviews — a small sample) — BikeWale</t>
  </si>
  <si>
    <t>Aggressive, muscular styling; Responsive power delivery, smooth throttle; Reported highway stability at 120+ km/h; TFT display and multiple ride modes well received; 28-38 km/l fuel efficiency reported</t>
  </si>
  <si>
    <t>Vibration described as "intense" at mid-to-high RPM by multiple owners; Pillion comfort questioned on longer trips; High service cost flagged by some owners; Heat soak in slow summer traffic reported</t>
  </si>
  <si>
    <t>Aggregate star rating not captured; drawn from a ZigWheels 9,000 km long-term review</t>
  </si>
  <si>
    <t>Sharp design and strong fit/finish; Bi-LED headlamp with wide, strong beam spread; Touring-friendly riding position and seat space; Suspension balances comfort and handling well; No mechanical failures reported over 11 months' long-term use; ~31 km/l fuel efficiency in long-term use</t>
  </si>
  <si>
    <t>Noticeable vibration at 80-100 km/h cruising speeds; Brakes described as lacking initial bite; ABS felt to intervene early; Tyres called "lacklustre" for outright grip; Awkward luggage mounting due to short tail/angular tank; Fiddly single-button console navigation; Reviewer wanted more power/smoother low-rpm fuelling</t>
  </si>
  <si>
    <t>Aggregate star rating not yet established (new/pre-launch model); drawn from Team-BHP and Motoring World first-ride impressions</t>
  </si>
  <si>
    <t>Attractive styling praised in first-ride coverage; Seat height/ergonomics comfortable for average-height riders; TFT cluster called crisp and information-rich; Well-equipped on higher trims; Seen as a commercially promising, accessible entry into adventure touring</t>
  </si>
  <si>
    <t>Felt heavier than expected, making city manoeuvring harder; Large turning radius limits low-speed agility; One reviewer nearly dropped the bike due to its weight during an emergency manoeuvre; Reviewers question daily-commuter suitability given its heft, positioning it more as a tourer</t>
  </si>
  <si>
    <t>Total Cost of Ownership — Editable Template</t>
  </si>
  <si>
    <t>Spec section 20. TVS does not publish a finished TCO figure, so this is a BLANK, user-editable calculator shell, not TVS data. Yellow cells = your inputs/assumptions (edit these). Black formula cells recalculate automatically. Pick a model/variant and its ex-showroom price from the 'Variants &amp; Pricing' tab and type them into the yellow cells below.</t>
  </si>
  <si>
    <t>Legend</t>
  </si>
  <si>
    <t>Yellow = your input (edit it) · Black = formula (do not overtype)</t>
  </si>
  <si>
    <t>1. Vehicle &amp; purchase inputs</t>
  </si>
  <si>
    <t>Model / variant (example)</t>
  </si>
  <si>
    <t>Ex-showroom price (INR) — example only, from 'Variants &amp; Pricing' tab</t>
  </si>
  <si>
    <t>Registration + road tax (INR, your assumption)</t>
  </si>
  <si>
    <t>First-year insurance premium (INR, your assumption — not published by TVS)</t>
  </si>
  <si>
    <t>Day-1 accessories/gear (INR, your assumption)</t>
  </si>
  <si>
    <t>On-road price (calculated)</t>
  </si>
  <si>
    <t>2. Running-cost inputs (annual)</t>
  </si>
  <si>
    <t>Annual distance (km, your usage estimate)</t>
  </si>
  <si>
    <t>Claimed/expected mileage (km/l — check Engine &amp; Performance tab; TVS does not publish an ARAI figure for every model)</t>
  </si>
  <si>
    <t>Fuel price (INR/litre, your local price)</t>
  </si>
  <si>
    <t>Annual fuel cost (calculated)</t>
  </si>
  <si>
    <t>Annual maintenance/service cost (INR, your assumption — TVS publishes only a free-service schedule for some models, not priced costs)</t>
  </si>
  <si>
    <t>Annual insurance renewal (INR, your assumption)</t>
  </si>
  <si>
    <t>Total annual running cost (calculated)</t>
  </si>
  <si>
    <t>3. Ownership horizon</t>
  </si>
  <si>
    <t>Expected resale value after 3 years (INR, your assumption — TVS does not publish resale data)</t>
  </si>
  <si>
    <t>Expected resale value after 5 years (INR, your assumption)</t>
  </si>
  <si>
    <t>3-year TCO (on-road + 3 yrs running − resale)</t>
  </si>
  <si>
    <t>5-year TCO (on-road + 5 yrs running − resale)</t>
  </si>
  <si>
    <t>Customer Requirement Profile — Intake Template</t>
  </si>
  <si>
    <t>Spec section 27. Blank template for capturing what a customer needs, so it can be matched against the model/variant tabs. Not TVS data — fill in yellow cells per customer.</t>
  </si>
  <si>
    <t>Budget (max, INR)</t>
  </si>
  <si>
    <t>Monthly EMI comfort (INR)</t>
  </si>
  <si>
    <t>Daily distance (km)</t>
  </si>
  <si>
    <t>Monthly distance (km)</t>
  </si>
  <si>
    <t>City % vs Highway % split</t>
  </si>
  <si>
    <t>Rider height (cm)</t>
  </si>
  <si>
    <t>Rider experience (Beginner/Intermediate/Experienced)</t>
  </si>
  <si>
    <t>Pillion frequency (Never/Occasional/Frequent)</t>
  </si>
  <si>
    <t>Typical luggage needs</t>
  </si>
  <si>
    <t>Family usage (Y/N)</t>
  </si>
  <si>
    <t>Commute type (Office/College/Business/Leisure)</t>
  </si>
  <si>
    <t>Touring frequency (Never/Occasional/Frequent)</t>
  </si>
  <si>
    <t>Priority: Mileage importance (1-5)</t>
  </si>
  <si>
    <t>Priority: Performance importance (1-5)</t>
  </si>
  <si>
    <t>Priority: Comfort importance (1-5)</t>
  </si>
  <si>
    <t>Priority: Safety importance (1-5)</t>
  </si>
  <si>
    <t>Priority: Technology importance (1-5)</t>
  </si>
  <si>
    <t>Priority: Maintenance-cost importance (1-5)</t>
  </si>
  <si>
    <t>Priority: Resale importance (1-5)</t>
  </si>
  <si>
    <t>Preference: ICE / EV</t>
  </si>
  <si>
    <t>Preference: Scooter / Motorcycle</t>
  </si>
  <si>
    <t>Financing, Insurance &amp; Resale — General Context</t>
  </si>
  <si>
    <t>Spec sections 18/19/21. None of these can be a single true fact per bike (they depend on the applicant, insurer, city, and used-market conditions), so this tab gives general, secondary-sourced background instead of a per-model number — use it to set realistic assumptions in the TCO Calculator tab.</t>
  </si>
  <si>
    <t>Topic</t>
  </si>
  <si>
    <t>Context (secondary-sourced)</t>
  </si>
  <si>
    <t>Two-wheeler loan tenure (TVS Credit, TVS's own financing arm)</t>
  </si>
  <si>
    <t>12 to 60 months tenure; TVS advertises funding up to 95% of the bike's price (implying as little as ~5% minimum down payment). TVS Credit's own website does not publish a specific interest rate or processing fee online — these are quoted per applicant/dealer. Source: tvscredit.com/loans/two-wheeler-loans/interest-rates-and-charges/ (official TVS Credit page, but a separate legal entity from TVS Motor Company; treated here as Tier 1-adjacent, not Tier 1 OEM).</t>
  </si>
  <si>
    <t>Two-wheeler insurance — IDV depreciation schedule (industry-standard, IRDAI-linked)</t>
  </si>
  <si>
    <t>This is the standard age-based depreciation schedule Indian insurers apply to the ex-showroom price to set a bike's Insured Declared Value (IDV), which drives the comprehensive premium: &lt;6 months 5%, 6-12 months 15%, 1-2 yrs 20%, 2-3 yrs 30%, 3-4 yrs 40%, 4-5 yrs 50%. Beyond 5 years, depreciation is negotiated between owner and insurer rather than fixed. This schedule applies to any two-wheeler, not specifically TVS models, and is a reasonable Tier-2 input for the TCO Calculator's insurance assumption cells. Source: ICICI Lombard's public depreciation-rate guide, secondary/insurer-published, cross-industry standard.</t>
  </si>
  <si>
    <t>Comprehensive insurance premium — order of magnitude</t>
  </si>
  <si>
    <t>Third-party aggregator PolicyBazaar advertises comprehensive two-wheeler cover starting from roughly ₹450-550/year for the cheapest commuter bikes, rising with engine size, IDV and add-ons; a realistic first-year comprehensive premium for a mid-size TVS motorcycle (e.g. an Apache 160-200cc) commonly falls in a much wider ₹2,500-6,000/year band once own-damage cover, IDV and add-ons are included. No single number is correct for every rider/city/no-claim-bonus combination — use the TCO Calculator's insurance input cell to plug in a quote from your own insurer rather than treating this range as authoritative.</t>
  </si>
  <si>
    <t>Resale value / depreciation</t>
  </si>
  <si>
    <t>No reliable single resale figure exists per model — used-bike valuation tools (Droom OBV, Orange Book Value, CarTrade) price a specific listed bike by city, condition, kilometres run, ownership count and current demand, not by model alone. As a rough industry-wide rule of thumb repeated across secondary valuation-guide sources, typical motorcycles retain very roughly 50-60% of their ex-showroom price at 3 years and 35-45% at 5 years, with premium/cult-following models (e.g. Royal Enfield) often retaining noticeably more — but this is a generic industry pattern, not a TVS-specific or per-model figure, and should not be quoted as precise. For an actual resale estimate on a specific TVS motorcycle, check a used-bike valuation tool directly for your city/condition/km.</t>
  </si>
  <si>
    <t>Service cost — a few data points surfaced in owner reviews</t>
  </si>
  <si>
    <t>TVS does not publish a priced service-cost table for any model in this workbook. One Apache RTR 160 4V owner review (BikeWale, secondary, anecdotal — a single data point, not a published rate card) cited a routine service cost of approximately ₹1,200. Treat any service-cost figure in this workbook as anecdotal unless stated otherwise, and confirm actual cost with your local authorised service centre.</t>
  </si>
  <si>
    <t>What Remains Unresolved — Even After Checking Secondary Sources</t>
  </si>
  <si>
    <t>Every spec-level gap was checked against BikeWale, 91Wheels and ZigWheels (see purple cells throughout this workbook for what was recovered). What's listed here genuinely could not be pinned to one fact by any source checked — usually because it isn't a fact at all (it depends on the individual buyer, city, or used-market conditions), not because research stopped early.</t>
  </si>
  <si>
    <t>Category (from your spec)</t>
  </si>
  <si>
    <t>Current status</t>
  </si>
  <si>
    <t>Resale value / depreciation (a single number per model)</t>
  </si>
  <si>
    <t>General industry rule-of-thumb added to the 'Financing, Insurance &amp; Resale' tab (secondary-sourced), but a true per-model, per-city, per-condition resale figure still requires checking a live used-bike valuation tool (Droom OBV, CarTrade, Spinny) at the time of sale — it changes too often and depends on too many buyer-specific factors to be a fixed fact in this workbook.</t>
  </si>
  <si>
    <t>Direct/competitor comparisons</t>
  </si>
  <si>
    <t>RESOLVED — see the new 'Competitors (Secondary)' tab, sourced from independent comparison articles.</t>
  </si>
  <si>
    <t>Customer reviews / real-world ownership sentiment</t>
  </si>
  <si>
    <t>RESOLVED — see the new 'Customer Sentiment (Secondary)' tab, clearly labelled as aggregated opinion, not fact.</t>
  </si>
  <si>
    <t>Service cost breakdown (labour/parts/consumables pricing)</t>
  </si>
  <si>
    <t>Still not available as a priced rate card from TVS or any secondary source checked; only a single anecdotal data point (~₹1,200 for one RTR160 4V owner's service, per a BikeWale review) was found — see 'Financing, Insurance &amp; Resale' tab. A real rate card requires contacting a specific authorised service centre.</t>
  </si>
  <si>
    <t>Insurance premiums / IDV assumptions</t>
  </si>
  <si>
    <t>General IDV depreciation schedule and an indicative premium range added to the 'Financing, Insurance &amp; Resale' tab (secondary-sourced). An actual premium still requires a quote from a specific insurer for a specific rider/city/no-claim-bonus combination — that can't be a fixed fact.</t>
  </si>
  <si>
    <t>Financing / EMI rates</t>
  </si>
  <si>
    <t>TVS Credit's own official page confirms loan tenure (12-60 months) and up-to-95% funding, but does not publish an interest rate or processing fee online (see 'Financing, Insurance &amp; Resale' tab) — these are quoted per applicant/dealer, so still can't be a single fact.</t>
  </si>
  <si>
    <t>Total Cost of Ownership (TCO) — a finished figure</t>
  </si>
  <si>
    <t>Still a template, not a fact — TCO is inherently a calculation over a specific buyer's assumptions (distance, city, ownership length). Use the 'TCO Calculator (Template)' tab with the general ranges from 'Financing, Insurance &amp; Resale' as a starting point.</t>
  </si>
  <si>
    <t>Independent (non-manufacturer) test results — ARAI/test-cycle mileage, NCAP-style safety ratings</t>
  </si>
  <si>
    <t>Owner-reported real-world mileage ranges were captured per model in the 'Customer Sentiment' tab (clearly labelled as owner-reported, not a certified test figure). India does not currently have a public two-wheeler crash-rating program comparable to car NCAP, so no safety-rating source exists to check.</t>
  </si>
  <si>
    <t>Recommendation / scoring logic</t>
  </si>
  <si>
    <t>Still out of scope for a knowledge-base workbook — this is decision logic to implement in code/rules against a customer's stated requirements (see 'Customer Profile Template' tab for the intake structure), not a fact to source from anywhere.</t>
  </si>
  <si>
    <t>Spec section 29. Every source used for this workbook — Tier 1 (TVS official) and Tier 3 (reputable secondary automotive publications, used only to fill what Tier 1 didn't publish).</t>
  </si>
  <si>
    <t>Source URL</t>
  </si>
  <si>
    <t>Source type</t>
  </si>
  <si>
    <t>Tier</t>
  </si>
  <si>
    <t>Access date</t>
  </si>
  <si>
    <t>Reliability note</t>
  </si>
  <si>
    <t>Official TVS accessories store page</t>
  </si>
  <si>
    <t>Tier 1 — OEM official</t>
  </si>
  <si>
    <t>2026-09-05</t>
  </si>
  <si>
    <t>Directly published by TVS Motor Company</t>
  </si>
  <si>
    <t>https://shop.tvsmotor.com/collections/accessories</t>
  </si>
  <si>
    <t>Official product/spec web page</t>
  </si>
  <si>
    <t>https://www.tvsmotor.com/-/media/Feature/Owners/25-11-25/TVS-Apache-RTX.pdf</t>
  </si>
  <si>
    <t>Official owner's manual (PDF)</t>
  </si>
  <si>
    <t>Official brochure (PDF)</t>
  </si>
  <si>
    <t>Official Integrated Annual Report</t>
  </si>
  <si>
    <t>https://www.tvsmotor.com/enquiry/apache-rtx</t>
  </si>
  <si>
    <t>https://www.tvsmotor.com/media/press-release/a-new-era-in-adventure-riding-dawns-the-all-new-tvs-apache-rtx-arrives</t>
  </si>
  <si>
    <t>Official press release</t>
  </si>
  <si>
    <t>Tier 3 — Trusted secondary sources (used only where Tier 1 above had a gap)</t>
  </si>
  <si>
    <t>https://www.bikewale.com</t>
  </si>
  <si>
    <t>Secondary publication (used for specs, pricing, competitors, and/or sentiment — see purple cells throughout this workbook)</t>
  </si>
  <si>
    <t>Tier 3 — reputable automotive publication</t>
  </si>
  <si>
    <t>NOT TVS official — cross-checked across 2+ sources wherever possible (see individual cells for exact article-level citation)</t>
  </si>
  <si>
    <t>https://www.91wheels.com</t>
  </si>
  <si>
    <t>https://www.zigwheels.com</t>
  </si>
  <si>
    <t>https://www.autocarindia.com</t>
  </si>
  <si>
    <t>Tier 3 — reputable automotive publication (also used for competitor cross-checks)</t>
  </si>
  <si>
    <t>https://www.bikedekho.com</t>
  </si>
  <si>
    <t>Tier 3 — reputable automotive publication (competitor cross-checks)</t>
  </si>
  <si>
    <t>https://www.team-bhp.com</t>
  </si>
  <si>
    <t>Tier 3 — reputable enthusiast/owner community publication (RTX first-ride impressions)</t>
  </si>
  <si>
    <t>https://www.tvscredit.com/loans/two-wheeler-loans/interest-rates-and-charges/</t>
  </si>
  <si>
    <t>Tier 1-adjacent — TVS's own financing arm, a separate legal entity from TVS Motor Company</t>
  </si>
  <si>
    <t>https://www.icicilombard.com/blogs/two-wheeler-insurance/bike/bike-depreciation-rate-calculation</t>
  </si>
  <si>
    <t>Tier 2 — insurer-published, cross-industry-standard depreciation schedule, not TVS-specific</t>
  </si>
  <si>
    <t>https://www.policybazaar.com/motor-insurance/two-wheeler-insurance/</t>
  </si>
  <si>
    <t>Tier 3 — insurance aggregator, used only for an indicative premium floor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</si>
</sst>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6"/>
      <color rgb="FF1F3864"/>
      <name val="Arial"/>
      <charset val="1"/>
    </font>
    <font>
      <i/>
      <sz val="10"/>
      <color rgb="FF595959"/>
      <name val="Arial"/>
      <charset val="1"/>
    </font>
    <font>
      <b/>
      <sz val="10"/>
      <name val="Arial"/>
      <charset val="1"/>
    </font>
    <font>
      <sz val="10"/>
      <name val="Arial"/>
      <charset val="1"/>
    </font>
    <font>
      <b/>
      <sz val="11"/>
      <color rgb="FFFFFFFF"/>
      <name val="Arial"/>
      <charset val="1"/>
    </font>
    <font>
      <u/>
      <sz val="10"/>
      <color rgb="FF0563C1"/>
      <name val="Arial"/>
      <charset val="1"/>
    </font>
    <font>
      <i/>
      <sz val="11"/>
      <color rgb="FF7030A0"/>
      <name val="Arial"/>
      <charset val="1"/>
    </font>
    <font>
      <i/>
      <sz val="11"/>
      <color rgb="FF7F7F7F"/>
      <name val="Arial"/>
      <charset val="1"/>
    </font>
    <font>
      <sz val="10"/>
      <color rgb="FF0000FF"/>
      <name val="Arial"/>
      <charset val="1"/>
    </font>
  </fonts>
  <fills count="5">
    <fill>
      <patternFill patternType="none"/>
    </fill>
    <fill>
      <patternFill patternType="gray125"/>
    </fill>
    <fill>
      <patternFill patternType="solid">
        <fgColor rgb="FF1F3864"/>
        <bgColor rgb="FF333333"/>
      </patternFill>
    </fill>
    <fill>
      <patternFill patternType="solid">
        <fgColor rgb="FFD9E1F2"/>
        <bgColor rgb="FFCCFFFF"/>
      </patternFill>
    </fill>
    <fill>
      <patternFill patternType="solid">
        <fgColor rgb="FFFFFF00"/>
        <b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2" fillId="0" borderId="0" xfId="0" applyFont="1"/>
    <xf numFmtId="0" fontId="1" fillId="0" borderId="0" xfId="0" applyFont="1" applyAlignment="1">
      <alignment vertical="center"/>
    </xf>
    <xf numFmtId="0" fontId="3" fillId="0" borderId="1" xfId="0" applyFont="1" applyBorder="1" applyAlignment="1">
      <alignment vertical="top" wrapText="1"/>
    </xf>
    <xf numFmtId="0" fontId="4" fillId="0" borderId="1" xfId="0" applyFont="1" applyBorder="1" applyAlignment="1">
      <alignment vertical="top" wrapText="1"/>
    </xf>
    <xf numFmtId="0" fontId="5" fillId="2" borderId="1" xfId="0" applyFont="1" applyFill="1" applyBorder="1" applyAlignment="1">
      <alignment horizontal="center" vertical="center" wrapText="1"/>
    </xf>
    <xf numFmtId="0" fontId="6" fillId="0" borderId="1" xfId="0" applyFont="1" applyBorder="1" applyAlignment="1">
      <alignment vertical="top" wrapText="1"/>
    </xf>
    <xf numFmtId="0" fontId="3" fillId="3" borderId="1" xfId="0" applyFont="1" applyFill="1" applyBorder="1" applyAlignment="1">
      <alignment vertical="top" wrapText="1"/>
    </xf>
    <xf numFmtId="0" fontId="0" fillId="3" borderId="0" xfId="0" applyFill="1"/>
    <xf numFmtId="0" fontId="7" fillId="0" borderId="1" xfId="0" applyFont="1" applyBorder="1" applyAlignment="1">
      <alignment vertical="top" wrapText="1"/>
    </xf>
    <xf numFmtId="0" fontId="8" fillId="0" borderId="1" xfId="0" applyFont="1" applyBorder="1" applyAlignment="1">
      <alignment vertical="top" wrapText="1"/>
    </xf>
    <xf numFmtId="0" fontId="9" fillId="4" borderId="1" xfId="0" applyFont="1" applyFill="1" applyBorder="1"/>
    <xf numFmtId="3" fontId="9" fillId="4" borderId="1" xfId="0" applyNumberFormat="1" applyFont="1" applyFill="1" applyBorder="1"/>
    <xf numFmtId="3" fontId="4" fillId="0" borderId="1" xfId="0" applyNumberFormat="1" applyFont="1" applyBorder="1"/>
    <xf numFmtId="4" fontId="9" fillId="4" borderId="1" xfId="0" applyNumberFormat="1" applyFont="1" applyFill="1" applyBorder="1"/>
    <xf numFmtId="0" fontId="0" fillId="4" borderId="1" xfId="0"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7030A0"/>
      <rgbColor rgb="FFFFFFCC"/>
      <rgbColor rgb="FFCCFFFF"/>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tvsmotor.com/customers/warranty-policy" TargetMode="External"/><Relationship Id="rId2" Type="http://schemas.openxmlformats.org/officeDocument/2006/relationships/hyperlink" Target="https://www.tvsmotor.com/our-products/vehicles" TargetMode="External"/><Relationship Id="rId1" Type="http://schemas.openxmlformats.org/officeDocument/2006/relationships/hyperlink" Target="https://www.tvsmotor.com/" TargetMode="External"/><Relationship Id="rId6" Type="http://schemas.openxmlformats.org/officeDocument/2006/relationships/hyperlink" Target="https://www.tvsmotor.com/ar-25-26/tvs.html" TargetMode="External"/><Relationship Id="rId5" Type="http://schemas.openxmlformats.org/officeDocument/2006/relationships/hyperlink" Target="https://shop.tvsmotor.com/" TargetMode="External"/><Relationship Id="rId4" Type="http://schemas.openxmlformats.org/officeDocument/2006/relationships/hyperlink" Target="https://www.tvsmotor.com/tvs-dealer-locator/tvs-2-wheeler"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tvsmotor.com/tvs-ronin" TargetMode="External"/><Relationship Id="rId13" Type="http://schemas.openxmlformats.org/officeDocument/2006/relationships/hyperlink" Target="https://www.tvsmotor.com/tvs-apache/-/media/Brand-Pages/Apache/Brochure/2026/All-New-TVS-Apache-RTR-160-4V-Brochure.pdf" TargetMode="External"/><Relationship Id="rId18" Type="http://schemas.openxmlformats.org/officeDocument/2006/relationships/hyperlink" Target="https://www.tvsmotor.com/tvs-apache/rr-310" TargetMode="External"/><Relationship Id="rId3" Type="http://schemas.openxmlformats.org/officeDocument/2006/relationships/hyperlink" Target="https://www.tvsmotor.com/tvs-star-city-plus" TargetMode="External"/><Relationship Id="rId7" Type="http://schemas.openxmlformats.org/officeDocument/2006/relationships/hyperlink" Target="https://www.tvsmotor.com/-/media/tvs-raider/Brochure/06_TVS%20ABS%20Digital%20Raider%20TFT%20Leaflet-27-02-2026.pdf" TargetMode="External"/><Relationship Id="rId12" Type="http://schemas.openxmlformats.org/officeDocument/2006/relationships/hyperlink" Target="https://www.tvsmotor.com/tvs-apache/apache-rtr-160-4v" TargetMode="External"/><Relationship Id="rId17" Type="http://schemas.openxmlformats.org/officeDocument/2006/relationships/hyperlink" Target="https://www.tvsmotor.com/tvs-apache/apache-rtr-310" TargetMode="External"/><Relationship Id="rId2" Type="http://schemas.openxmlformats.org/officeDocument/2006/relationships/hyperlink" Target="https://www.tvsmotor.com/tvs-radeon/-/media/Brand-Pages-Webp/TVS-Radeon---Brochure-Seperate_325.pdf" TargetMode="External"/><Relationship Id="rId16" Type="http://schemas.openxmlformats.org/officeDocument/2006/relationships/hyperlink" Target="https://www.tvsmotor.com/tvs-apache/-/media/Brand-Pages/Apache/Brochure/Apache-200-4V-BLUE-Leaflet.pdf" TargetMode="External"/><Relationship Id="rId20" Type="http://schemas.openxmlformats.org/officeDocument/2006/relationships/hyperlink" Target="https://www.tvsmotor.com/-/media/premium-app/tvs-apache/RTXImages/APACHE-RTX-BROCHURE.pdf%20(link%20found;%20PDF%20text%20was%20not%20machine-readable%20when%20fetched)" TargetMode="External"/><Relationship Id="rId1" Type="http://schemas.openxmlformats.org/officeDocument/2006/relationships/hyperlink" Target="https://www.tvsmotor.com/tvs-radeon" TargetMode="External"/><Relationship Id="rId6" Type="http://schemas.openxmlformats.org/officeDocument/2006/relationships/hyperlink" Target="https://www.tvsmotor.com/tvs-raider" TargetMode="External"/><Relationship Id="rId11" Type="http://schemas.openxmlformats.org/officeDocument/2006/relationships/hyperlink" Target="https://www.tvsmotor.com/tvs-apache/-/media/Brand-Pages/Apache/Brochure/TVS-Apache-RTR-160-Brochure_V4.pdf" TargetMode="External"/><Relationship Id="rId5" Type="http://schemas.openxmlformats.org/officeDocument/2006/relationships/hyperlink" Target="https://www.tvsmotor.com/tvs-sport%20(also%20listed%20at%20https:/www.tvsmotor.com/commuter/tvs-sport)" TargetMode="External"/><Relationship Id="rId15" Type="http://schemas.openxmlformats.org/officeDocument/2006/relationships/hyperlink" Target="https://www.tvsmotor.com/tvs-apache/apache-rtr-200-4v" TargetMode="External"/><Relationship Id="rId10" Type="http://schemas.openxmlformats.org/officeDocument/2006/relationships/hyperlink" Target="https://www.tvsmotor.com/tvs-apache/apache-rtr-160-2v" TargetMode="External"/><Relationship Id="rId19" Type="http://schemas.openxmlformats.org/officeDocument/2006/relationships/hyperlink" Target="https://www.tvsmotor.com/premium/tvs-apache/apache-rtx" TargetMode="External"/><Relationship Id="rId4" Type="http://schemas.openxmlformats.org/officeDocument/2006/relationships/hyperlink" Target="https://www.tvsmotor.com/tvs-star-city-plus/-/media/Brand-Pages/TVSStarCity/Brochure/3-3-22/11711375-TVS-Star-City-BrochureEnglish-R2.pdf" TargetMode="External"/><Relationship Id="rId9" Type="http://schemas.openxmlformats.org/officeDocument/2006/relationships/hyperlink" Target="https://www.tvsmotor.com/tvs-ronin/-/media/U368Media/File/TVS-_Ronin_2025_Verticle_brochure.pdf" TargetMode="External"/><Relationship Id="rId14" Type="http://schemas.openxmlformats.org/officeDocument/2006/relationships/hyperlink" Target="https://www.tvsmotor.com/tvs-apache/apache-rtr-180"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https://www.tvsmotor.com/tvs-apache/-/media/Brand-Pages/Apache/Brochure/2026/All-New-TVS-Apache-RTR-160-4V-Brochure.pdf" TargetMode="External"/><Relationship Id="rId18" Type="http://schemas.openxmlformats.org/officeDocument/2006/relationships/hyperlink" Target="https://www.tvsmotor.com/tvs-apache/apache-rtr-180" TargetMode="External"/><Relationship Id="rId26" Type="http://schemas.openxmlformats.org/officeDocument/2006/relationships/hyperlink" Target="https://www.tvsmotor.com/tvs-ronin" TargetMode="External"/><Relationship Id="rId39" Type="http://schemas.openxmlformats.org/officeDocument/2006/relationships/hyperlink" Target="https://www.policybazaar.com/motor-insurance/two-wheeler-insurance/" TargetMode="External"/><Relationship Id="rId21" Type="http://schemas.openxmlformats.org/officeDocument/2006/relationships/hyperlink" Target="https://www.tvsmotor.com/tvs-apache/rr-310" TargetMode="External"/><Relationship Id="rId34" Type="http://schemas.openxmlformats.org/officeDocument/2006/relationships/hyperlink" Target="https://www.autocarindia.com/" TargetMode="External"/><Relationship Id="rId7" Type="http://schemas.openxmlformats.org/officeDocument/2006/relationships/hyperlink" Target="https://www.tvsmotor.com/ar-25-26/tvs.html" TargetMode="External"/><Relationship Id="rId12" Type="http://schemas.openxmlformats.org/officeDocument/2006/relationships/hyperlink" Target="https://www.tvsmotor.com/premium/tvs-apache/apache-rtx" TargetMode="External"/><Relationship Id="rId17" Type="http://schemas.openxmlformats.org/officeDocument/2006/relationships/hyperlink" Target="https://www.tvsmotor.com/tvs-apache/apache-rtr-160-4v" TargetMode="External"/><Relationship Id="rId25" Type="http://schemas.openxmlformats.org/officeDocument/2006/relationships/hyperlink" Target="https://www.tvsmotor.com/tvs-raider" TargetMode="External"/><Relationship Id="rId33" Type="http://schemas.openxmlformats.org/officeDocument/2006/relationships/hyperlink" Target="https://www.zigwheels.com/" TargetMode="External"/><Relationship Id="rId38" Type="http://schemas.openxmlformats.org/officeDocument/2006/relationships/hyperlink" Target="https://www.icicilombard.com/blogs/two-wheeler-insurance/bike/bike-depreciation-rate-calculation" TargetMode="External"/><Relationship Id="rId2" Type="http://schemas.openxmlformats.org/officeDocument/2006/relationships/hyperlink" Target="https://shop.tvsmotor.com/collections/accessories" TargetMode="External"/><Relationship Id="rId16" Type="http://schemas.openxmlformats.org/officeDocument/2006/relationships/hyperlink" Target="https://www.tvsmotor.com/tvs-apache/apache-rtr-160-2v" TargetMode="External"/><Relationship Id="rId20" Type="http://schemas.openxmlformats.org/officeDocument/2006/relationships/hyperlink" Target="https://www.tvsmotor.com/tvs-apache/apache-rtr-310" TargetMode="External"/><Relationship Id="rId29" Type="http://schemas.openxmlformats.org/officeDocument/2006/relationships/hyperlink" Target="https://www.tvsmotor.com/tvs-star-city-plus" TargetMode="External"/><Relationship Id="rId1" Type="http://schemas.openxmlformats.org/officeDocument/2006/relationships/hyperlink" Target="https://shop.tvsmotor.com/" TargetMode="External"/><Relationship Id="rId6" Type="http://schemas.openxmlformats.org/officeDocument/2006/relationships/hyperlink" Target="https://www.tvsmotor.com/-/media/tvs-raider/Brochure/06_TVS%20ABS%20Digital%20Raider%20TFT%20Leaflet-27-02-2026.pdf" TargetMode="External"/><Relationship Id="rId11" Type="http://schemas.openxmlformats.org/officeDocument/2006/relationships/hyperlink" Target="https://www.tvsmotor.com/our-products/vehicles" TargetMode="External"/><Relationship Id="rId24" Type="http://schemas.openxmlformats.org/officeDocument/2006/relationships/hyperlink" Target="https://www.tvsmotor.com/tvs-radeon/-/media/Brand-Pages-Webp/TVS-Radeon---Brochure-Seperate_325.pdf" TargetMode="External"/><Relationship Id="rId32" Type="http://schemas.openxmlformats.org/officeDocument/2006/relationships/hyperlink" Target="https://www.91wheels.com/" TargetMode="External"/><Relationship Id="rId37" Type="http://schemas.openxmlformats.org/officeDocument/2006/relationships/hyperlink" Target="https://www.tvscredit.com/loans/two-wheeler-loans/interest-rates-and-charges/" TargetMode="External"/><Relationship Id="rId5" Type="http://schemas.openxmlformats.org/officeDocument/2006/relationships/hyperlink" Target="https://www.tvsmotor.com/-/media/premium-app/tvs-apache/RTXImages/APACHE-RTX-BROCHURE.pdf%20(link%20found;%20PDF%20text%20was%20not%20machine-readable%20when%20fetched)" TargetMode="External"/><Relationship Id="rId15" Type="http://schemas.openxmlformats.org/officeDocument/2006/relationships/hyperlink" Target="https://www.tvsmotor.com/tvs-apache/-/media/Brand-Pages/Apache/Brochure/TVS-Apache-RTR-160-Brochure_V4.pdf" TargetMode="External"/><Relationship Id="rId23" Type="http://schemas.openxmlformats.org/officeDocument/2006/relationships/hyperlink" Target="https://www.tvsmotor.com/tvs-radeon" TargetMode="External"/><Relationship Id="rId28" Type="http://schemas.openxmlformats.org/officeDocument/2006/relationships/hyperlink" Target="https://www.tvsmotor.com/tvs-sport%20(also%20listed%20at%20https:/www.tvsmotor.com/commuter/tvs-sport)" TargetMode="External"/><Relationship Id="rId36" Type="http://schemas.openxmlformats.org/officeDocument/2006/relationships/hyperlink" Target="https://www.team-bhp.com/" TargetMode="External"/><Relationship Id="rId10" Type="http://schemas.openxmlformats.org/officeDocument/2006/relationships/hyperlink" Target="https://www.tvsmotor.com/media/press-release/a-new-era-in-adventure-riding-dawns-the-all-new-tvs-apache-rtx-arrives" TargetMode="External"/><Relationship Id="rId19" Type="http://schemas.openxmlformats.org/officeDocument/2006/relationships/hyperlink" Target="https://www.tvsmotor.com/tvs-apache/apache-rtr-200-4v" TargetMode="External"/><Relationship Id="rId31" Type="http://schemas.openxmlformats.org/officeDocument/2006/relationships/hyperlink" Target="https://www.bikewale.com/" TargetMode="External"/><Relationship Id="rId4" Type="http://schemas.openxmlformats.org/officeDocument/2006/relationships/hyperlink" Target="https://www.tvsmotor.com/-/media/Feature/Owners/25-11-25/TVS-Apache-RTX.pdf" TargetMode="External"/><Relationship Id="rId9" Type="http://schemas.openxmlformats.org/officeDocument/2006/relationships/hyperlink" Target="https://www.tvsmotor.com/enquiry/apache-rtx" TargetMode="External"/><Relationship Id="rId14" Type="http://schemas.openxmlformats.org/officeDocument/2006/relationships/hyperlink" Target="https://www.tvsmotor.com/tvs-apache/-/media/Brand-Pages/Apache/Brochure/Apache-200-4V-BLUE-Leaflet.pdf" TargetMode="External"/><Relationship Id="rId22" Type="http://schemas.openxmlformats.org/officeDocument/2006/relationships/hyperlink" Target="https://www.tvsmotor.com/tvs-dealer-locator/tvs-2-wheeler" TargetMode="External"/><Relationship Id="rId27" Type="http://schemas.openxmlformats.org/officeDocument/2006/relationships/hyperlink" Target="https://www.tvsmotor.com/tvs-ronin/-/media/U368Media/File/TVS-_Ronin_2025_Verticle_brochure.pdf" TargetMode="External"/><Relationship Id="rId30" Type="http://schemas.openxmlformats.org/officeDocument/2006/relationships/hyperlink" Target="https://www.tvsmotor.com/tvs-star-city-plus/-/media/Brand-Pages/TVSStarCity/Brochure/3-3-22/11711375-TVS-Star-City-BrochureEnglish-R2.pdf" TargetMode="External"/><Relationship Id="rId35" Type="http://schemas.openxmlformats.org/officeDocument/2006/relationships/hyperlink" Target="https://www.bikedekho.com/" TargetMode="External"/><Relationship Id="rId8" Type="http://schemas.openxmlformats.org/officeDocument/2006/relationships/hyperlink" Target="https://www.tvsmotor.com/customers/warranty-policy" TargetMode="External"/><Relationship Id="rId3" Type="http://schemas.openxmlformats.org/officeDocument/2006/relationships/hyperlink" Target="https://www.tvsmoto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zoomScaleNormal="100" workbookViewId="0">
      <pane ySplit="3" topLeftCell="A4" activePane="bottomLeft" state="frozen"/>
      <selection pane="bottomLeft"/>
    </sheetView>
  </sheetViews>
  <sheetFormatPr defaultColWidth="8.6328125" defaultRowHeight="14.5" x14ac:dyDescent="0.35"/>
  <cols>
    <col min="1" max="1" width="30" customWidth="1"/>
    <col min="2" max="2" width="100" customWidth="1"/>
  </cols>
  <sheetData>
    <row r="1" spans="1:2" ht="25.5" customHeight="1" x14ac:dyDescent="0.35">
      <c r="A1" s="2" t="s">
        <v>0</v>
      </c>
      <c r="B1" s="2"/>
    </row>
    <row r="2" spans="1:2" ht="15.75" customHeight="1" x14ac:dyDescent="0.35">
      <c r="A2" s="1" t="s">
        <v>1</v>
      </c>
      <c r="B2" s="1"/>
    </row>
    <row r="4" spans="1:2" ht="60" customHeight="1" x14ac:dyDescent="0.35">
      <c r="A4" s="3" t="s">
        <v>2</v>
      </c>
      <c r="B4" s="4" t="s">
        <v>3</v>
      </c>
    </row>
    <row r="5" spans="1:2" ht="60" customHeight="1" x14ac:dyDescent="0.35">
      <c r="A5" s="3" t="s">
        <v>4</v>
      </c>
      <c r="B5" s="4" t="s">
        <v>5</v>
      </c>
    </row>
    <row r="6" spans="1:2" ht="60" customHeight="1" x14ac:dyDescent="0.35">
      <c r="A6" s="3" t="s">
        <v>6</v>
      </c>
      <c r="B6" s="4" t="s">
        <v>7</v>
      </c>
    </row>
    <row r="7" spans="1:2" ht="60" customHeight="1" x14ac:dyDescent="0.35">
      <c r="A7" s="3" t="s">
        <v>8</v>
      </c>
      <c r="B7" s="4" t="s">
        <v>9</v>
      </c>
    </row>
    <row r="8" spans="1:2" ht="60" customHeight="1" x14ac:dyDescent="0.35">
      <c r="A8" s="3" t="s">
        <v>10</v>
      </c>
      <c r="B8" s="4" t="s">
        <v>11</v>
      </c>
    </row>
    <row r="9" spans="1:2" ht="60" customHeight="1" x14ac:dyDescent="0.35">
      <c r="A9" s="3" t="s">
        <v>12</v>
      </c>
      <c r="B9" s="4" t="s">
        <v>13</v>
      </c>
    </row>
    <row r="10" spans="1:2" ht="60" customHeight="1" x14ac:dyDescent="0.35">
      <c r="A10" s="3" t="s">
        <v>14</v>
      </c>
      <c r="B10" s="4" t="s">
        <v>15</v>
      </c>
    </row>
    <row r="11" spans="1:2" ht="60" customHeight="1" x14ac:dyDescent="0.35">
      <c r="A11" s="3" t="s">
        <v>16</v>
      </c>
      <c r="B11" s="4" t="s">
        <v>17</v>
      </c>
    </row>
    <row r="13" spans="1:2" x14ac:dyDescent="0.35">
      <c r="A13" s="5" t="s">
        <v>18</v>
      </c>
      <c r="B13" s="5" t="s">
        <v>19</v>
      </c>
    </row>
    <row r="14" spans="1:2" ht="25" x14ac:dyDescent="0.35">
      <c r="A14" s="3" t="s">
        <v>20</v>
      </c>
      <c r="B14" s="4" t="s">
        <v>21</v>
      </c>
    </row>
    <row r="15" spans="1:2" x14ac:dyDescent="0.35">
      <c r="A15" s="3" t="s">
        <v>22</v>
      </c>
      <c r="B15" s="4" t="s">
        <v>23</v>
      </c>
    </row>
    <row r="16" spans="1:2" x14ac:dyDescent="0.35">
      <c r="A16" s="3" t="s">
        <v>24</v>
      </c>
      <c r="B16" s="4" t="s">
        <v>25</v>
      </c>
    </row>
    <row r="17" spans="1:2" x14ac:dyDescent="0.35">
      <c r="A17" s="3" t="s">
        <v>26</v>
      </c>
      <c r="B17" s="4" t="s">
        <v>27</v>
      </c>
    </row>
    <row r="18" spans="1:2" x14ac:dyDescent="0.35">
      <c r="A18" s="3" t="s">
        <v>28</v>
      </c>
      <c r="B18" s="4" t="s">
        <v>29</v>
      </c>
    </row>
    <row r="19" spans="1:2" x14ac:dyDescent="0.35">
      <c r="A19" s="3" t="s">
        <v>30</v>
      </c>
      <c r="B19" s="4" t="s">
        <v>31</v>
      </c>
    </row>
    <row r="20" spans="1:2" x14ac:dyDescent="0.35">
      <c r="A20" s="3" t="s">
        <v>32</v>
      </c>
      <c r="B20" s="4" t="s">
        <v>33</v>
      </c>
    </row>
    <row r="21" spans="1:2" x14ac:dyDescent="0.35">
      <c r="A21" s="3" t="s">
        <v>34</v>
      </c>
      <c r="B21" s="4" t="s">
        <v>35</v>
      </c>
    </row>
    <row r="22" spans="1:2" x14ac:dyDescent="0.35">
      <c r="A22" s="3" t="s">
        <v>36</v>
      </c>
      <c r="B22" s="4" t="s">
        <v>37</v>
      </c>
    </row>
    <row r="23" spans="1:2" ht="25" x14ac:dyDescent="0.35">
      <c r="A23" s="3" t="s">
        <v>38</v>
      </c>
      <c r="B23" s="4" t="s">
        <v>39</v>
      </c>
    </row>
    <row r="24" spans="1:2" ht="25" x14ac:dyDescent="0.35">
      <c r="A24" s="3" t="s">
        <v>40</v>
      </c>
      <c r="B24" s="4" t="s">
        <v>41</v>
      </c>
    </row>
    <row r="25" spans="1:2" x14ac:dyDescent="0.35">
      <c r="A25" s="3" t="s">
        <v>42</v>
      </c>
      <c r="B25" s="4" t="s">
        <v>43</v>
      </c>
    </row>
    <row r="26" spans="1:2" x14ac:dyDescent="0.35">
      <c r="A26" s="3" t="s">
        <v>44</v>
      </c>
      <c r="B26" s="4" t="s">
        <v>45</v>
      </c>
    </row>
    <row r="27" spans="1:2" ht="25" x14ac:dyDescent="0.35">
      <c r="A27" s="3" t="s">
        <v>46</v>
      </c>
      <c r="B27" s="4" t="s">
        <v>47</v>
      </c>
    </row>
    <row r="28" spans="1:2" ht="25" x14ac:dyDescent="0.35">
      <c r="A28" s="3" t="s">
        <v>48</v>
      </c>
      <c r="B28" s="4" t="s">
        <v>49</v>
      </c>
    </row>
    <row r="29" spans="1:2" ht="25" x14ac:dyDescent="0.35">
      <c r="A29" s="3" t="s">
        <v>50</v>
      </c>
      <c r="B29" s="4" t="s">
        <v>51</v>
      </c>
    </row>
    <row r="30" spans="1:2" x14ac:dyDescent="0.35">
      <c r="A30" s="3" t="s">
        <v>52</v>
      </c>
      <c r="B30" s="4" t="s">
        <v>53</v>
      </c>
    </row>
    <row r="31" spans="1:2" ht="37.5" x14ac:dyDescent="0.35">
      <c r="A31" s="3" t="s">
        <v>54</v>
      </c>
      <c r="B31" s="4" t="s">
        <v>55</v>
      </c>
    </row>
    <row r="32" spans="1:2" x14ac:dyDescent="0.35">
      <c r="A32" s="3" t="s">
        <v>56</v>
      </c>
      <c r="B32" s="4" t="s">
        <v>57</v>
      </c>
    </row>
    <row r="33" spans="1:2" ht="25" x14ac:dyDescent="0.35">
      <c r="A33" s="3" t="s">
        <v>58</v>
      </c>
      <c r="B33" s="4" t="s">
        <v>59</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2"/>
  <sheetViews>
    <sheetView zoomScaleNormal="100" workbookViewId="0">
      <pane ySplit="3" topLeftCell="A4" activePane="bottomLeft" state="frozen"/>
      <selection pane="bottomLeft"/>
    </sheetView>
  </sheetViews>
  <sheetFormatPr defaultColWidth="8.6328125" defaultRowHeight="14.5" x14ac:dyDescent="0.35"/>
  <cols>
    <col min="1" max="1" width="34" customWidth="1"/>
    <col min="2" max="2" width="110" customWidth="1"/>
  </cols>
  <sheetData>
    <row r="1" spans="1:2" ht="25.5" customHeight="1" x14ac:dyDescent="0.35">
      <c r="A1" s="2" t="s">
        <v>60</v>
      </c>
      <c r="B1" s="2"/>
    </row>
    <row r="2" spans="1:2" ht="15.75" customHeight="1" x14ac:dyDescent="0.35">
      <c r="A2" s="1" t="s">
        <v>61</v>
      </c>
      <c r="B2" s="1"/>
    </row>
    <row r="4" spans="1:2" x14ac:dyDescent="0.35">
      <c r="A4" s="5" t="s">
        <v>62</v>
      </c>
      <c r="B4" s="5" t="s">
        <v>63</v>
      </c>
    </row>
    <row r="5" spans="1:2" ht="45" customHeight="1" x14ac:dyDescent="0.35">
      <c r="A5" s="3" t="s">
        <v>64</v>
      </c>
      <c r="B5" s="4" t="s">
        <v>65</v>
      </c>
    </row>
    <row r="6" spans="1:2" ht="45" customHeight="1" x14ac:dyDescent="0.35">
      <c r="A6" s="3" t="s">
        <v>66</v>
      </c>
      <c r="B6" s="4" t="s">
        <v>67</v>
      </c>
    </row>
    <row r="7" spans="1:2" ht="45" customHeight="1" x14ac:dyDescent="0.35">
      <c r="A7" s="3" t="s">
        <v>68</v>
      </c>
      <c r="B7" s="4" t="s">
        <v>69</v>
      </c>
    </row>
    <row r="8" spans="1:2" ht="45" customHeight="1" x14ac:dyDescent="0.35">
      <c r="A8" s="3" t="s">
        <v>70</v>
      </c>
      <c r="B8" s="4" t="s">
        <v>71</v>
      </c>
    </row>
    <row r="9" spans="1:2" ht="45" customHeight="1" x14ac:dyDescent="0.35">
      <c r="A9" s="3" t="s">
        <v>72</v>
      </c>
      <c r="B9" s="4" t="s">
        <v>73</v>
      </c>
    </row>
    <row r="10" spans="1:2" ht="45" customHeight="1" x14ac:dyDescent="0.35">
      <c r="A10" s="3" t="s">
        <v>74</v>
      </c>
      <c r="B10" s="4" t="s">
        <v>75</v>
      </c>
    </row>
    <row r="11" spans="1:2" ht="45" customHeight="1" x14ac:dyDescent="0.35">
      <c r="A11" s="3" t="s">
        <v>76</v>
      </c>
      <c r="B11" s="4" t="s">
        <v>77</v>
      </c>
    </row>
    <row r="12" spans="1:2" ht="45" customHeight="1" x14ac:dyDescent="0.35">
      <c r="A12" s="3" t="s">
        <v>78</v>
      </c>
      <c r="B12" s="4" t="s">
        <v>79</v>
      </c>
    </row>
    <row r="13" spans="1:2" ht="45" customHeight="1" x14ac:dyDescent="0.35">
      <c r="A13" s="3" t="s">
        <v>80</v>
      </c>
      <c r="B13" s="4" t="s">
        <v>81</v>
      </c>
    </row>
    <row r="14" spans="1:2" ht="45" customHeight="1" x14ac:dyDescent="0.35">
      <c r="A14" s="3" t="s">
        <v>82</v>
      </c>
      <c r="B14" s="4" t="s">
        <v>83</v>
      </c>
    </row>
    <row r="15" spans="1:2" ht="45" customHeight="1" x14ac:dyDescent="0.35">
      <c r="A15" s="3" t="s">
        <v>84</v>
      </c>
      <c r="B15" s="4" t="s">
        <v>85</v>
      </c>
    </row>
    <row r="16" spans="1:2" ht="45" customHeight="1" x14ac:dyDescent="0.35">
      <c r="A16" s="3" t="s">
        <v>86</v>
      </c>
      <c r="B16" s="4" t="s">
        <v>87</v>
      </c>
    </row>
    <row r="17" spans="1:2" ht="45" customHeight="1" x14ac:dyDescent="0.35">
      <c r="A17" s="3" t="s">
        <v>88</v>
      </c>
      <c r="B17" s="4" t="s">
        <v>89</v>
      </c>
    </row>
    <row r="18" spans="1:2" ht="45" customHeight="1" x14ac:dyDescent="0.35">
      <c r="A18" s="3" t="s">
        <v>90</v>
      </c>
      <c r="B18" s="6" t="s">
        <v>91</v>
      </c>
    </row>
    <row r="19" spans="1:2" ht="45" customHeight="1" x14ac:dyDescent="0.35">
      <c r="A19" s="3" t="s">
        <v>92</v>
      </c>
      <c r="B19" s="6" t="s">
        <v>93</v>
      </c>
    </row>
    <row r="20" spans="1:2" ht="45" customHeight="1" x14ac:dyDescent="0.35">
      <c r="A20" s="3" t="s">
        <v>94</v>
      </c>
      <c r="B20" s="6" t="s">
        <v>95</v>
      </c>
    </row>
    <row r="21" spans="1:2" ht="45" customHeight="1" x14ac:dyDescent="0.35">
      <c r="A21" s="3" t="s">
        <v>96</v>
      </c>
      <c r="B21" s="6" t="s">
        <v>97</v>
      </c>
    </row>
    <row r="22" spans="1:2" ht="45" customHeight="1" x14ac:dyDescent="0.35">
      <c r="A22" s="3" t="s">
        <v>98</v>
      </c>
      <c r="B22" s="6" t="s">
        <v>99</v>
      </c>
    </row>
    <row r="24" spans="1:2" ht="26" x14ac:dyDescent="0.35">
      <c r="A24" s="7" t="s">
        <v>100</v>
      </c>
      <c r="B24" s="8"/>
    </row>
    <row r="25" spans="1:2" ht="30" customHeight="1" x14ac:dyDescent="0.35">
      <c r="A25" s="3" t="s">
        <v>101</v>
      </c>
      <c r="B25" s="4" t="s">
        <v>102</v>
      </c>
    </row>
    <row r="26" spans="1:2" ht="30" customHeight="1" x14ac:dyDescent="0.35">
      <c r="A26" s="3" t="s">
        <v>103</v>
      </c>
      <c r="B26" s="4" t="s">
        <v>104</v>
      </c>
    </row>
    <row r="27" spans="1:2" ht="30" customHeight="1" x14ac:dyDescent="0.35">
      <c r="A27" s="3" t="s">
        <v>105</v>
      </c>
      <c r="B27" s="4" t="s">
        <v>106</v>
      </c>
    </row>
    <row r="28" spans="1:2" ht="30" customHeight="1" x14ac:dyDescent="0.35">
      <c r="A28" s="3" t="s">
        <v>107</v>
      </c>
      <c r="B28" s="4" t="s">
        <v>108</v>
      </c>
    </row>
    <row r="29" spans="1:2" ht="30" customHeight="1" x14ac:dyDescent="0.35">
      <c r="A29" s="3" t="s">
        <v>109</v>
      </c>
      <c r="B29" s="4" t="s">
        <v>110</v>
      </c>
    </row>
    <row r="30" spans="1:2" ht="30" customHeight="1" x14ac:dyDescent="0.35">
      <c r="A30" s="3" t="s">
        <v>111</v>
      </c>
      <c r="B30" s="4" t="s">
        <v>112</v>
      </c>
    </row>
    <row r="31" spans="1:2" ht="30" customHeight="1" x14ac:dyDescent="0.35">
      <c r="A31" s="3" t="s">
        <v>113</v>
      </c>
      <c r="B31" s="4" t="s">
        <v>114</v>
      </c>
    </row>
    <row r="32" spans="1:2" ht="30" customHeight="1" x14ac:dyDescent="0.35">
      <c r="A32" s="3" t="s">
        <v>115</v>
      </c>
      <c r="B32" s="6" t="s">
        <v>116</v>
      </c>
    </row>
  </sheetData>
  <mergeCells count="2">
    <mergeCell ref="A1:B1"/>
    <mergeCell ref="A2:B2"/>
  </mergeCells>
  <hyperlinks>
    <hyperlink ref="B18" r:id="rId1" xr:uid="{00000000-0004-0000-0100-000000000000}"/>
    <hyperlink ref="B19" r:id="rId2" xr:uid="{00000000-0004-0000-0100-000001000000}"/>
    <hyperlink ref="B20" r:id="rId3" xr:uid="{00000000-0004-0000-0100-000002000000}"/>
    <hyperlink ref="B21" r:id="rId4" xr:uid="{00000000-0004-0000-0100-000003000000}"/>
    <hyperlink ref="B22" r:id="rId5" xr:uid="{00000000-0004-0000-0100-000004000000}"/>
    <hyperlink ref="B32" r:id="rId6" xr:uid="{00000000-0004-0000-0100-000005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1"/>
  <sheetViews>
    <sheetView zoomScaleNormal="100" workbookViewId="0">
      <pane ySplit="3" topLeftCell="A4" activePane="bottomLeft" state="frozen"/>
      <selection pane="bottomLeft"/>
    </sheetView>
  </sheetViews>
  <sheetFormatPr defaultColWidth="8.6328125" defaultRowHeight="14.5" x14ac:dyDescent="0.35"/>
  <cols>
    <col min="1" max="1" width="40" customWidth="1"/>
    <col min="2" max="2" width="55" customWidth="1"/>
  </cols>
  <sheetData>
    <row r="1" spans="1:2" ht="25.5" customHeight="1" x14ac:dyDescent="0.35">
      <c r="A1" s="2" t="s">
        <v>117</v>
      </c>
      <c r="B1" s="2"/>
    </row>
    <row r="2" spans="1:2" ht="15.75" customHeight="1" x14ac:dyDescent="0.35">
      <c r="A2" s="1" t="s">
        <v>118</v>
      </c>
      <c r="B2" s="1"/>
    </row>
    <row r="4" spans="1:2" x14ac:dyDescent="0.35">
      <c r="A4" s="5" t="s">
        <v>119</v>
      </c>
      <c r="B4" s="5" t="s">
        <v>120</v>
      </c>
    </row>
    <row r="5" spans="1:2" x14ac:dyDescent="0.35">
      <c r="A5" s="4" t="s">
        <v>121</v>
      </c>
      <c r="B5" s="7" t="s">
        <v>122</v>
      </c>
    </row>
    <row r="6" spans="1:2" x14ac:dyDescent="0.35">
      <c r="A6" s="4" t="s">
        <v>121</v>
      </c>
      <c r="B6" s="7" t="s">
        <v>123</v>
      </c>
    </row>
    <row r="7" spans="1:2" x14ac:dyDescent="0.35">
      <c r="A7" s="4" t="s">
        <v>121</v>
      </c>
      <c r="B7" s="7" t="s">
        <v>124</v>
      </c>
    </row>
    <row r="8" spans="1:2" x14ac:dyDescent="0.35">
      <c r="A8" s="4" t="s">
        <v>125</v>
      </c>
      <c r="B8" s="7" t="s">
        <v>126</v>
      </c>
    </row>
    <row r="9" spans="1:2" x14ac:dyDescent="0.35">
      <c r="A9" s="4" t="s">
        <v>127</v>
      </c>
      <c r="B9" s="7" t="s">
        <v>128</v>
      </c>
    </row>
    <row r="10" spans="1:2" x14ac:dyDescent="0.35">
      <c r="A10" s="4" t="s">
        <v>129</v>
      </c>
      <c r="B10" s="7" t="s">
        <v>130</v>
      </c>
    </row>
    <row r="11" spans="1:2" x14ac:dyDescent="0.35">
      <c r="A11" s="4" t="s">
        <v>129</v>
      </c>
      <c r="B11" s="7" t="s">
        <v>131</v>
      </c>
    </row>
    <row r="12" spans="1:2" x14ac:dyDescent="0.35">
      <c r="A12" s="4" t="s">
        <v>129</v>
      </c>
      <c r="B12" s="7" t="s">
        <v>132</v>
      </c>
    </row>
    <row r="13" spans="1:2" x14ac:dyDescent="0.35">
      <c r="A13" s="4" t="s">
        <v>129</v>
      </c>
      <c r="B13" s="7" t="s">
        <v>133</v>
      </c>
    </row>
    <row r="14" spans="1:2" ht="25" x14ac:dyDescent="0.35">
      <c r="A14" s="4" t="s">
        <v>134</v>
      </c>
      <c r="B14" s="7" t="s">
        <v>135</v>
      </c>
    </row>
    <row r="15" spans="1:2" ht="25" x14ac:dyDescent="0.35">
      <c r="A15" s="4" t="s">
        <v>136</v>
      </c>
      <c r="B15" s="7" t="s">
        <v>137</v>
      </c>
    </row>
    <row r="16" spans="1:2" ht="25" x14ac:dyDescent="0.35">
      <c r="A16" s="4" t="s">
        <v>138</v>
      </c>
      <c r="B16" s="7" t="s">
        <v>139</v>
      </c>
    </row>
    <row r="17" spans="1:2" x14ac:dyDescent="0.35">
      <c r="A17" s="4" t="s">
        <v>140</v>
      </c>
      <c r="B17" s="4" t="s">
        <v>141</v>
      </c>
    </row>
    <row r="18" spans="1:2" x14ac:dyDescent="0.35">
      <c r="A18" s="4" t="s">
        <v>140</v>
      </c>
      <c r="B18" s="4" t="s">
        <v>142</v>
      </c>
    </row>
    <row r="19" spans="1:2" x14ac:dyDescent="0.35">
      <c r="A19" s="4" t="s">
        <v>143</v>
      </c>
      <c r="B19" s="4" t="s">
        <v>144</v>
      </c>
    </row>
    <row r="20" spans="1:2" x14ac:dyDescent="0.35">
      <c r="A20" s="4" t="s">
        <v>143</v>
      </c>
      <c r="B20" s="4" t="s">
        <v>145</v>
      </c>
    </row>
    <row r="21" spans="1:2" x14ac:dyDescent="0.35">
      <c r="A21" s="4" t="s">
        <v>140</v>
      </c>
      <c r="B21" s="4" t="s">
        <v>146</v>
      </c>
    </row>
    <row r="22" spans="1:2" x14ac:dyDescent="0.35">
      <c r="A22" s="4" t="s">
        <v>147</v>
      </c>
      <c r="B22" s="4" t="s">
        <v>148</v>
      </c>
    </row>
    <row r="23" spans="1:2" x14ac:dyDescent="0.35">
      <c r="A23" s="4" t="s">
        <v>147</v>
      </c>
      <c r="B23" s="4" t="s">
        <v>149</v>
      </c>
    </row>
    <row r="24" spans="1:2" x14ac:dyDescent="0.35">
      <c r="A24" s="4" t="s">
        <v>147</v>
      </c>
      <c r="B24" s="4" t="s">
        <v>150</v>
      </c>
    </row>
    <row r="25" spans="1:2" x14ac:dyDescent="0.35">
      <c r="A25" s="4" t="s">
        <v>151</v>
      </c>
      <c r="B25" s="4" t="s">
        <v>152</v>
      </c>
    </row>
    <row r="26" spans="1:2" x14ac:dyDescent="0.35">
      <c r="A26" s="4" t="s">
        <v>153</v>
      </c>
      <c r="B26" s="4" t="s">
        <v>154</v>
      </c>
    </row>
    <row r="27" spans="1:2" x14ac:dyDescent="0.35">
      <c r="A27" s="4" t="s">
        <v>153</v>
      </c>
      <c r="B27" s="4" t="s">
        <v>155</v>
      </c>
    </row>
    <row r="28" spans="1:2" x14ac:dyDescent="0.35">
      <c r="A28" s="4" t="s">
        <v>156</v>
      </c>
      <c r="B28" s="4" t="s">
        <v>157</v>
      </c>
    </row>
    <row r="29" spans="1:2" x14ac:dyDescent="0.35">
      <c r="A29" s="4" t="s">
        <v>158</v>
      </c>
      <c r="B29" s="4" t="s">
        <v>159</v>
      </c>
    </row>
    <row r="30" spans="1:2" x14ac:dyDescent="0.35">
      <c r="A30" s="4" t="s">
        <v>160</v>
      </c>
      <c r="B30" s="4" t="s">
        <v>161</v>
      </c>
    </row>
    <row r="31" spans="1:2" x14ac:dyDescent="0.35">
      <c r="A31" s="4" t="s">
        <v>162</v>
      </c>
      <c r="B31" s="4" t="s">
        <v>163</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6328125" defaultRowHeight="14.5" x14ac:dyDescent="0.35"/>
  <cols>
    <col min="1" max="1" width="20" customWidth="1"/>
    <col min="2" max="2" width="26" customWidth="1"/>
    <col min="3" max="3" width="55" customWidth="1"/>
    <col min="4" max="4" width="30" customWidth="1"/>
    <col min="5" max="6" width="45" customWidth="1"/>
  </cols>
  <sheetData>
    <row r="1" spans="1:6" ht="25.5" customHeight="1" x14ac:dyDescent="0.35">
      <c r="A1" s="2" t="s">
        <v>24</v>
      </c>
      <c r="B1" s="2"/>
      <c r="C1" s="2"/>
      <c r="D1" s="2"/>
      <c r="E1" s="2"/>
      <c r="F1" s="2"/>
    </row>
    <row r="2" spans="1:6" ht="15.75" customHeight="1" x14ac:dyDescent="0.35">
      <c r="A2" s="1" t="s">
        <v>164</v>
      </c>
      <c r="B2" s="1"/>
      <c r="C2" s="1"/>
      <c r="D2" s="1"/>
      <c r="E2" s="1"/>
      <c r="F2" s="1"/>
    </row>
    <row r="4" spans="1:6" x14ac:dyDescent="0.35">
      <c r="A4" s="5" t="s">
        <v>165</v>
      </c>
      <c r="B4" s="5" t="s">
        <v>166</v>
      </c>
      <c r="C4" s="5" t="s">
        <v>167</v>
      </c>
      <c r="D4" s="5" t="s">
        <v>168</v>
      </c>
      <c r="E4" s="5" t="s">
        <v>169</v>
      </c>
      <c r="F4" s="5" t="s">
        <v>170</v>
      </c>
    </row>
    <row r="5" spans="1:6" ht="69.75" customHeight="1" x14ac:dyDescent="0.35">
      <c r="A5" s="3" t="s">
        <v>122</v>
      </c>
      <c r="B5" s="4" t="s">
        <v>171</v>
      </c>
      <c r="C5" s="4" t="s">
        <v>172</v>
      </c>
      <c r="D5" s="4" t="s">
        <v>173</v>
      </c>
      <c r="E5" s="6" t="s">
        <v>174</v>
      </c>
      <c r="F5" s="6" t="s">
        <v>175</v>
      </c>
    </row>
    <row r="6" spans="1:6" ht="69.75" customHeight="1" x14ac:dyDescent="0.35">
      <c r="A6" s="3" t="s">
        <v>123</v>
      </c>
      <c r="B6" s="4" t="s">
        <v>176</v>
      </c>
      <c r="C6" s="4" t="s">
        <v>177</v>
      </c>
      <c r="D6" s="4" t="s">
        <v>173</v>
      </c>
      <c r="E6" s="6" t="s">
        <v>178</v>
      </c>
      <c r="F6" s="6" t="s">
        <v>179</v>
      </c>
    </row>
    <row r="7" spans="1:6" ht="69.75" customHeight="1" x14ac:dyDescent="0.35">
      <c r="A7" s="3" t="s">
        <v>124</v>
      </c>
      <c r="B7" s="4" t="s">
        <v>180</v>
      </c>
      <c r="C7" s="9" t="s">
        <v>181</v>
      </c>
      <c r="D7" s="4" t="s">
        <v>173</v>
      </c>
      <c r="E7" s="6" t="s">
        <v>182</v>
      </c>
      <c r="F7" s="9" t="s">
        <v>183</v>
      </c>
    </row>
    <row r="8" spans="1:6" ht="69.75" customHeight="1" x14ac:dyDescent="0.35">
      <c r="A8" s="3" t="s">
        <v>126</v>
      </c>
      <c r="B8" s="4" t="s">
        <v>184</v>
      </c>
      <c r="C8" s="4" t="s">
        <v>185</v>
      </c>
      <c r="D8" s="4" t="s">
        <v>186</v>
      </c>
      <c r="E8" s="6" t="s">
        <v>187</v>
      </c>
      <c r="F8" s="6" t="s">
        <v>188</v>
      </c>
    </row>
    <row r="9" spans="1:6" ht="69.75" customHeight="1" x14ac:dyDescent="0.35">
      <c r="A9" s="3" t="s">
        <v>128</v>
      </c>
      <c r="B9" s="4" t="s">
        <v>189</v>
      </c>
      <c r="C9" s="4" t="s">
        <v>190</v>
      </c>
      <c r="D9" s="4" t="s">
        <v>191</v>
      </c>
      <c r="E9" s="6" t="s">
        <v>192</v>
      </c>
      <c r="F9" s="6" t="s">
        <v>193</v>
      </c>
    </row>
    <row r="10" spans="1:6" ht="69.75" customHeight="1" x14ac:dyDescent="0.35">
      <c r="A10" s="3" t="s">
        <v>130</v>
      </c>
      <c r="B10" s="4" t="s">
        <v>194</v>
      </c>
      <c r="C10" s="4" t="s">
        <v>195</v>
      </c>
      <c r="D10" s="4" t="s">
        <v>196</v>
      </c>
      <c r="E10" s="6" t="s">
        <v>197</v>
      </c>
      <c r="F10" s="6" t="s">
        <v>198</v>
      </c>
    </row>
    <row r="11" spans="1:6" ht="69.75" customHeight="1" x14ac:dyDescent="0.35">
      <c r="A11" s="3" t="s">
        <v>131</v>
      </c>
      <c r="B11" s="4" t="s">
        <v>199</v>
      </c>
      <c r="C11" s="4" t="s">
        <v>200</v>
      </c>
      <c r="D11" s="4" t="s">
        <v>201</v>
      </c>
      <c r="E11" s="6" t="s">
        <v>202</v>
      </c>
      <c r="F11" s="6" t="s">
        <v>203</v>
      </c>
    </row>
    <row r="12" spans="1:6" ht="69.75" customHeight="1" x14ac:dyDescent="0.35">
      <c r="A12" s="3" t="s">
        <v>132</v>
      </c>
      <c r="B12" s="4" t="s">
        <v>204</v>
      </c>
      <c r="C12" s="4" t="s">
        <v>205</v>
      </c>
      <c r="D12" s="4" t="s">
        <v>173</v>
      </c>
      <c r="E12" s="6" t="s">
        <v>206</v>
      </c>
      <c r="F12" s="4" t="s">
        <v>207</v>
      </c>
    </row>
    <row r="13" spans="1:6" ht="69.75" customHeight="1" x14ac:dyDescent="0.35">
      <c r="A13" s="3" t="s">
        <v>133</v>
      </c>
      <c r="B13" s="4" t="s">
        <v>208</v>
      </c>
      <c r="C13" s="4" t="s">
        <v>209</v>
      </c>
      <c r="D13" s="4" t="s">
        <v>173</v>
      </c>
      <c r="E13" s="6" t="s">
        <v>210</v>
      </c>
      <c r="F13" s="6" t="s">
        <v>211</v>
      </c>
    </row>
    <row r="14" spans="1:6" ht="69.75" customHeight="1" x14ac:dyDescent="0.35">
      <c r="A14" s="3" t="s">
        <v>135</v>
      </c>
      <c r="B14" s="4" t="s">
        <v>212</v>
      </c>
      <c r="C14" s="4" t="s">
        <v>213</v>
      </c>
      <c r="D14" s="4" t="s">
        <v>214</v>
      </c>
      <c r="E14" s="6" t="s">
        <v>215</v>
      </c>
      <c r="F14" s="10" t="s">
        <v>216</v>
      </c>
    </row>
    <row r="15" spans="1:6" ht="69.75" customHeight="1" x14ac:dyDescent="0.35">
      <c r="A15" s="3" t="s">
        <v>137</v>
      </c>
      <c r="B15" s="4" t="s">
        <v>217</v>
      </c>
      <c r="C15" s="4" t="s">
        <v>218</v>
      </c>
      <c r="D15" s="4" t="s">
        <v>173</v>
      </c>
      <c r="E15" s="6" t="s">
        <v>219</v>
      </c>
      <c r="F15" s="10" t="s">
        <v>216</v>
      </c>
    </row>
    <row r="16" spans="1:6" ht="69.75" customHeight="1" x14ac:dyDescent="0.35">
      <c r="A16" s="3" t="s">
        <v>139</v>
      </c>
      <c r="B16" s="4" t="s">
        <v>220</v>
      </c>
      <c r="C16" s="4" t="s">
        <v>221</v>
      </c>
      <c r="D16" s="4" t="s">
        <v>222</v>
      </c>
      <c r="E16" s="6" t="s">
        <v>223</v>
      </c>
      <c r="F16" s="6" t="s">
        <v>224</v>
      </c>
    </row>
  </sheetData>
  <mergeCells count="2">
    <mergeCell ref="A1:F1"/>
    <mergeCell ref="A2:F2"/>
  </mergeCells>
  <hyperlinks>
    <hyperlink ref="E5" r:id="rId1" xr:uid="{00000000-0004-0000-0300-000000000000}"/>
    <hyperlink ref="F5" r:id="rId2" xr:uid="{00000000-0004-0000-0300-000001000000}"/>
    <hyperlink ref="E6" r:id="rId3" xr:uid="{00000000-0004-0000-0300-000002000000}"/>
    <hyperlink ref="F6" r:id="rId4" xr:uid="{00000000-0004-0000-0300-000003000000}"/>
    <hyperlink ref="E7" r:id="rId5" xr:uid="{00000000-0004-0000-0300-000004000000}"/>
    <hyperlink ref="E8" r:id="rId6" xr:uid="{00000000-0004-0000-0300-000005000000}"/>
    <hyperlink ref="F8" r:id="rId7" xr:uid="{00000000-0004-0000-0300-000006000000}"/>
    <hyperlink ref="E9" r:id="rId8" xr:uid="{00000000-0004-0000-0300-000007000000}"/>
    <hyperlink ref="F9" r:id="rId9" xr:uid="{00000000-0004-0000-0300-000008000000}"/>
    <hyperlink ref="E10" r:id="rId10" xr:uid="{00000000-0004-0000-0300-000009000000}"/>
    <hyperlink ref="F10" r:id="rId11" xr:uid="{00000000-0004-0000-0300-00000A000000}"/>
    <hyperlink ref="E11" r:id="rId12" xr:uid="{00000000-0004-0000-0300-00000B000000}"/>
    <hyperlink ref="F11" r:id="rId13" xr:uid="{00000000-0004-0000-0300-00000C000000}"/>
    <hyperlink ref="E12" r:id="rId14" xr:uid="{00000000-0004-0000-0300-00000D000000}"/>
    <hyperlink ref="E13" r:id="rId15" xr:uid="{00000000-0004-0000-0300-00000E000000}"/>
    <hyperlink ref="F13" r:id="rId16" xr:uid="{00000000-0004-0000-0300-00000F000000}"/>
    <hyperlink ref="E14" r:id="rId17" xr:uid="{00000000-0004-0000-0300-000010000000}"/>
    <hyperlink ref="E15" r:id="rId18" xr:uid="{00000000-0004-0000-0300-000011000000}"/>
    <hyperlink ref="E16" r:id="rId19" xr:uid="{00000000-0004-0000-0300-000012000000}"/>
    <hyperlink ref="F16" r:id="rId20" xr:uid="{00000000-0004-0000-0300-000013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2"/>
  <sheetViews>
    <sheetView zoomScaleNormal="100" workbookViewId="0">
      <pane xSplit="2" ySplit="4" topLeftCell="C5" activePane="bottomRight" state="frozen"/>
      <selection pane="topRight" activeCell="C1" sqref="C1"/>
      <selection pane="bottomLeft" activeCell="A5" sqref="A5"/>
      <selection pane="bottomRight"/>
    </sheetView>
  </sheetViews>
  <sheetFormatPr defaultColWidth="8.6328125" defaultRowHeight="14.5" x14ac:dyDescent="0.35"/>
  <cols>
    <col min="1" max="1" width="20" customWidth="1"/>
    <col min="2" max="2" width="34" customWidth="1"/>
    <col min="3" max="3" width="22" customWidth="1"/>
    <col min="4" max="4" width="60" customWidth="1"/>
    <col min="5" max="5" width="40" customWidth="1"/>
    <col min="6" max="6" width="55" customWidth="1"/>
  </cols>
  <sheetData>
    <row r="1" spans="1:6" ht="25.5" customHeight="1" x14ac:dyDescent="0.35">
      <c r="A1" s="2" t="s">
        <v>26</v>
      </c>
      <c r="B1" s="2"/>
      <c r="C1" s="2"/>
      <c r="D1" s="2"/>
      <c r="E1" s="2"/>
      <c r="F1" s="2"/>
    </row>
    <row r="2" spans="1:6" ht="15.75" customHeight="1" x14ac:dyDescent="0.35">
      <c r="A2" s="1" t="s">
        <v>225</v>
      </c>
      <c r="B2" s="1"/>
      <c r="C2" s="1"/>
      <c r="D2" s="1"/>
      <c r="E2" s="1"/>
      <c r="F2" s="1"/>
    </row>
    <row r="4" spans="1:6" ht="28" x14ac:dyDescent="0.35">
      <c r="A4" s="5" t="s">
        <v>165</v>
      </c>
      <c r="B4" s="5" t="s">
        <v>226</v>
      </c>
      <c r="C4" s="5" t="s">
        <v>227</v>
      </c>
      <c r="D4" s="5" t="s">
        <v>228</v>
      </c>
      <c r="E4" s="5" t="s">
        <v>229</v>
      </c>
      <c r="F4" s="5" t="s">
        <v>230</v>
      </c>
    </row>
    <row r="5" spans="1:6" ht="45" customHeight="1" x14ac:dyDescent="0.35">
      <c r="A5" s="3" t="s">
        <v>122</v>
      </c>
      <c r="B5" s="4" t="s">
        <v>231</v>
      </c>
      <c r="C5" s="4" t="s">
        <v>232</v>
      </c>
      <c r="D5" s="10" t="s">
        <v>233</v>
      </c>
      <c r="E5" s="4" t="s">
        <v>234</v>
      </c>
      <c r="F5" s="4" t="s">
        <v>235</v>
      </c>
    </row>
    <row r="6" spans="1:6" ht="45" customHeight="1" x14ac:dyDescent="0.35">
      <c r="A6" s="3" t="s">
        <v>122</v>
      </c>
      <c r="B6" s="4" t="s">
        <v>236</v>
      </c>
      <c r="C6" s="4" t="s">
        <v>237</v>
      </c>
      <c r="D6" s="10" t="s">
        <v>233</v>
      </c>
    </row>
    <row r="7" spans="1:6" ht="45" customHeight="1" x14ac:dyDescent="0.35">
      <c r="A7" s="3" t="s">
        <v>122</v>
      </c>
      <c r="B7" s="4" t="s">
        <v>238</v>
      </c>
      <c r="C7" s="4" t="s">
        <v>239</v>
      </c>
      <c r="D7" s="10" t="s">
        <v>233</v>
      </c>
    </row>
    <row r="8" spans="1:6" ht="45" customHeight="1" x14ac:dyDescent="0.35">
      <c r="A8" s="3" t="s">
        <v>122</v>
      </c>
      <c r="B8" s="4" t="s">
        <v>240</v>
      </c>
      <c r="C8" s="4" t="s">
        <v>241</v>
      </c>
      <c r="D8" s="10" t="s">
        <v>233</v>
      </c>
    </row>
    <row r="9" spans="1:6" ht="45" customHeight="1" x14ac:dyDescent="0.35">
      <c r="A9" s="3" t="s">
        <v>123</v>
      </c>
      <c r="B9" s="9" t="s">
        <v>242</v>
      </c>
      <c r="C9" s="9" t="s">
        <v>243</v>
      </c>
      <c r="D9" s="9" t="s">
        <v>244</v>
      </c>
      <c r="E9" s="4" t="s">
        <v>245</v>
      </c>
      <c r="F9" s="4" t="s">
        <v>246</v>
      </c>
    </row>
    <row r="10" spans="1:6" ht="45" customHeight="1" x14ac:dyDescent="0.35">
      <c r="A10" s="3" t="s">
        <v>123</v>
      </c>
      <c r="B10" s="9" t="s">
        <v>247</v>
      </c>
      <c r="C10" s="9" t="s">
        <v>248</v>
      </c>
      <c r="D10" s="9" t="s">
        <v>249</v>
      </c>
    </row>
    <row r="11" spans="1:6" ht="45" customHeight="1" x14ac:dyDescent="0.35">
      <c r="A11" s="3" t="s">
        <v>124</v>
      </c>
      <c r="B11" s="9" t="s">
        <v>250</v>
      </c>
      <c r="C11" s="9" t="s">
        <v>251</v>
      </c>
      <c r="D11" s="9" t="s">
        <v>249</v>
      </c>
      <c r="E11" s="4" t="s">
        <v>252</v>
      </c>
      <c r="F11" s="4" t="s">
        <v>253</v>
      </c>
    </row>
    <row r="12" spans="1:6" ht="45" customHeight="1" x14ac:dyDescent="0.35">
      <c r="A12" s="3" t="s">
        <v>124</v>
      </c>
      <c r="B12" s="9" t="s">
        <v>254</v>
      </c>
      <c r="C12" s="9" t="s">
        <v>255</v>
      </c>
      <c r="D12" s="9" t="s">
        <v>256</v>
      </c>
    </row>
    <row r="13" spans="1:6" ht="45" customHeight="1" x14ac:dyDescent="0.35">
      <c r="A13" s="3" t="s">
        <v>126</v>
      </c>
      <c r="B13" s="9" t="s">
        <v>242</v>
      </c>
      <c r="C13" s="9" t="s">
        <v>257</v>
      </c>
      <c r="D13" s="9" t="s">
        <v>249</v>
      </c>
      <c r="E13" s="9" t="s">
        <v>258</v>
      </c>
      <c r="F13" s="4" t="s">
        <v>259</v>
      </c>
    </row>
    <row r="14" spans="1:6" ht="45" customHeight="1" x14ac:dyDescent="0.35">
      <c r="A14" s="3" t="s">
        <v>126</v>
      </c>
      <c r="B14" s="9" t="s">
        <v>260</v>
      </c>
      <c r="C14" s="9" t="s">
        <v>261</v>
      </c>
      <c r="D14" s="9" t="s">
        <v>249</v>
      </c>
    </row>
    <row r="15" spans="1:6" ht="45" customHeight="1" x14ac:dyDescent="0.35">
      <c r="A15" s="3" t="s">
        <v>126</v>
      </c>
      <c r="B15" s="9" t="s">
        <v>262</v>
      </c>
      <c r="C15" s="9" t="s">
        <v>263</v>
      </c>
      <c r="D15" s="9" t="s">
        <v>249</v>
      </c>
    </row>
    <row r="16" spans="1:6" ht="45" customHeight="1" x14ac:dyDescent="0.35">
      <c r="A16" s="3" t="s">
        <v>126</v>
      </c>
      <c r="B16" s="9" t="s">
        <v>264</v>
      </c>
      <c r="C16" s="9" t="s">
        <v>265</v>
      </c>
      <c r="D16" s="9" t="s">
        <v>249</v>
      </c>
    </row>
    <row r="17" spans="1:6" ht="45" customHeight="1" x14ac:dyDescent="0.35">
      <c r="A17" s="3" t="s">
        <v>126</v>
      </c>
      <c r="B17" s="9" t="s">
        <v>266</v>
      </c>
      <c r="C17" s="9" t="s">
        <v>267</v>
      </c>
      <c r="D17" s="9" t="s">
        <v>249</v>
      </c>
    </row>
    <row r="18" spans="1:6" ht="45" customHeight="1" x14ac:dyDescent="0.35">
      <c r="A18" s="3" t="s">
        <v>126</v>
      </c>
      <c r="B18" s="9" t="s">
        <v>268</v>
      </c>
      <c r="C18" s="9" t="s">
        <v>269</v>
      </c>
      <c r="D18" s="9" t="s">
        <v>249</v>
      </c>
    </row>
    <row r="19" spans="1:6" ht="45" customHeight="1" x14ac:dyDescent="0.35">
      <c r="A19" s="3" t="s">
        <v>126</v>
      </c>
      <c r="B19" s="9" t="s">
        <v>270</v>
      </c>
      <c r="C19" s="9" t="s">
        <v>271</v>
      </c>
      <c r="D19" s="9" t="s">
        <v>249</v>
      </c>
    </row>
    <row r="20" spans="1:6" ht="45" customHeight="1" x14ac:dyDescent="0.35">
      <c r="A20" s="3" t="s">
        <v>128</v>
      </c>
      <c r="B20" s="9" t="s">
        <v>272</v>
      </c>
      <c r="C20" s="9" t="s">
        <v>273</v>
      </c>
      <c r="D20" s="9" t="s">
        <v>249</v>
      </c>
      <c r="E20" s="4" t="s">
        <v>274</v>
      </c>
      <c r="F20" s="4" t="s">
        <v>275</v>
      </c>
    </row>
    <row r="21" spans="1:6" ht="45" customHeight="1" x14ac:dyDescent="0.35">
      <c r="A21" s="3" t="s">
        <v>128</v>
      </c>
      <c r="B21" s="9" t="s">
        <v>276</v>
      </c>
      <c r="C21" s="9" t="s">
        <v>277</v>
      </c>
      <c r="D21" s="9" t="s">
        <v>249</v>
      </c>
    </row>
    <row r="22" spans="1:6" ht="45" customHeight="1" x14ac:dyDescent="0.35">
      <c r="A22" s="3" t="s">
        <v>128</v>
      </c>
      <c r="B22" s="9" t="s">
        <v>278</v>
      </c>
      <c r="C22" s="9" t="s">
        <v>279</v>
      </c>
      <c r="D22" s="9" t="s">
        <v>249</v>
      </c>
    </row>
    <row r="23" spans="1:6" ht="45" customHeight="1" x14ac:dyDescent="0.35">
      <c r="A23" s="3" t="s">
        <v>128</v>
      </c>
      <c r="B23" s="9" t="s">
        <v>280</v>
      </c>
      <c r="C23" s="9" t="s">
        <v>281</v>
      </c>
      <c r="D23" s="9" t="s">
        <v>249</v>
      </c>
    </row>
    <row r="24" spans="1:6" ht="45" customHeight="1" x14ac:dyDescent="0.35">
      <c r="A24" s="3" t="s">
        <v>128</v>
      </c>
      <c r="B24" s="9" t="s">
        <v>282</v>
      </c>
      <c r="C24" s="9" t="s">
        <v>283</v>
      </c>
      <c r="D24" s="9" t="s">
        <v>249</v>
      </c>
    </row>
    <row r="25" spans="1:6" ht="45" customHeight="1" x14ac:dyDescent="0.35">
      <c r="A25" s="3" t="s">
        <v>128</v>
      </c>
      <c r="B25" s="9" t="s">
        <v>284</v>
      </c>
      <c r="C25" s="9" t="s">
        <v>285</v>
      </c>
      <c r="D25" s="9" t="s">
        <v>249</v>
      </c>
    </row>
    <row r="26" spans="1:6" ht="45" customHeight="1" x14ac:dyDescent="0.35">
      <c r="A26" s="3" t="s">
        <v>130</v>
      </c>
      <c r="B26" s="4" t="s">
        <v>286</v>
      </c>
      <c r="C26" s="4" t="s">
        <v>287</v>
      </c>
      <c r="D26" s="4" t="s">
        <v>288</v>
      </c>
      <c r="E26" s="4" t="s">
        <v>289</v>
      </c>
      <c r="F26" s="4" t="s">
        <v>290</v>
      </c>
    </row>
    <row r="27" spans="1:6" ht="45" customHeight="1" x14ac:dyDescent="0.35">
      <c r="A27" s="3" t="s">
        <v>131</v>
      </c>
      <c r="B27" s="4" t="s">
        <v>291</v>
      </c>
      <c r="C27" s="4" t="s">
        <v>292</v>
      </c>
      <c r="D27" s="4" t="s">
        <v>288</v>
      </c>
      <c r="E27" s="4" t="s">
        <v>293</v>
      </c>
      <c r="F27" s="4" t="s">
        <v>294</v>
      </c>
    </row>
    <row r="28" spans="1:6" ht="45" customHeight="1" x14ac:dyDescent="0.35">
      <c r="A28" s="3" t="s">
        <v>131</v>
      </c>
      <c r="B28" s="4" t="s">
        <v>295</v>
      </c>
      <c r="C28" s="4" t="s">
        <v>292</v>
      </c>
      <c r="D28" s="4" t="s">
        <v>296</v>
      </c>
    </row>
    <row r="29" spans="1:6" ht="45" customHeight="1" x14ac:dyDescent="0.35">
      <c r="A29" s="3" t="s">
        <v>131</v>
      </c>
      <c r="B29" s="4" t="s">
        <v>297</v>
      </c>
      <c r="C29" s="4" t="s">
        <v>292</v>
      </c>
      <c r="D29" s="4" t="s">
        <v>298</v>
      </c>
    </row>
    <row r="30" spans="1:6" ht="45" customHeight="1" x14ac:dyDescent="0.35">
      <c r="A30" s="3" t="s">
        <v>132</v>
      </c>
      <c r="B30" s="4" t="s">
        <v>132</v>
      </c>
      <c r="C30" s="4" t="s">
        <v>299</v>
      </c>
      <c r="D30" s="4" t="s">
        <v>288</v>
      </c>
      <c r="E30" s="4" t="s">
        <v>300</v>
      </c>
      <c r="F30" s="4" t="s">
        <v>301</v>
      </c>
    </row>
    <row r="31" spans="1:6" ht="45" customHeight="1" x14ac:dyDescent="0.35">
      <c r="A31" s="3" t="s">
        <v>133</v>
      </c>
      <c r="B31" s="4" t="s">
        <v>133</v>
      </c>
      <c r="C31" s="4" t="s">
        <v>302</v>
      </c>
      <c r="D31" s="4" t="s">
        <v>288</v>
      </c>
      <c r="E31" s="4" t="s">
        <v>303</v>
      </c>
      <c r="F31" s="4" t="s">
        <v>304</v>
      </c>
    </row>
    <row r="32" spans="1:6" ht="45" customHeight="1" x14ac:dyDescent="0.35">
      <c r="A32" s="3" t="s">
        <v>135</v>
      </c>
      <c r="B32" s="10" t="s">
        <v>233</v>
      </c>
      <c r="C32" s="4" t="s">
        <v>305</v>
      </c>
      <c r="D32" s="4" t="s">
        <v>306</v>
      </c>
      <c r="E32" s="4" t="s">
        <v>307</v>
      </c>
      <c r="F32" s="4" t="s">
        <v>308</v>
      </c>
    </row>
    <row r="33" spans="1:6" ht="45" customHeight="1" x14ac:dyDescent="0.35">
      <c r="A33" s="3" t="s">
        <v>135</v>
      </c>
      <c r="B33" s="9" t="s">
        <v>309</v>
      </c>
      <c r="C33" s="9" t="s">
        <v>310</v>
      </c>
      <c r="D33" s="9" t="s">
        <v>311</v>
      </c>
    </row>
    <row r="34" spans="1:6" ht="45" customHeight="1" x14ac:dyDescent="0.35">
      <c r="A34" s="3" t="s">
        <v>135</v>
      </c>
      <c r="B34" s="9" t="s">
        <v>312</v>
      </c>
      <c r="C34" s="9" t="s">
        <v>313</v>
      </c>
      <c r="D34" s="9" t="s">
        <v>314</v>
      </c>
    </row>
    <row r="35" spans="1:6" ht="45" customHeight="1" x14ac:dyDescent="0.35">
      <c r="A35" s="3" t="s">
        <v>137</v>
      </c>
      <c r="B35" s="4" t="s">
        <v>315</v>
      </c>
      <c r="C35" s="4" t="s">
        <v>316</v>
      </c>
      <c r="D35" s="4" t="s">
        <v>317</v>
      </c>
      <c r="E35" s="9" t="s">
        <v>318</v>
      </c>
      <c r="F35" s="4" t="s">
        <v>319</v>
      </c>
    </row>
    <row r="36" spans="1:6" ht="45" customHeight="1" x14ac:dyDescent="0.35">
      <c r="A36" s="3" t="s">
        <v>137</v>
      </c>
      <c r="B36" s="10" t="s">
        <v>233</v>
      </c>
      <c r="C36" s="4" t="s">
        <v>320</v>
      </c>
      <c r="D36" s="4" t="s">
        <v>321</v>
      </c>
    </row>
    <row r="37" spans="1:6" ht="45" customHeight="1" x14ac:dyDescent="0.35">
      <c r="A37" s="3" t="s">
        <v>137</v>
      </c>
      <c r="B37" s="9" t="s">
        <v>322</v>
      </c>
      <c r="C37" s="9" t="s">
        <v>323</v>
      </c>
      <c r="D37" s="9" t="s">
        <v>324</v>
      </c>
    </row>
    <row r="38" spans="1:6" ht="45" customHeight="1" x14ac:dyDescent="0.35">
      <c r="A38" s="3" t="s">
        <v>137</v>
      </c>
      <c r="B38" s="9" t="s">
        <v>325</v>
      </c>
      <c r="C38" s="9" t="s">
        <v>326</v>
      </c>
      <c r="D38" s="9" t="s">
        <v>314</v>
      </c>
    </row>
    <row r="39" spans="1:6" ht="45" customHeight="1" x14ac:dyDescent="0.35">
      <c r="A39" s="3" t="s">
        <v>139</v>
      </c>
      <c r="B39" s="10" t="s">
        <v>233</v>
      </c>
      <c r="C39" s="4" t="s">
        <v>327</v>
      </c>
      <c r="D39" s="4" t="s">
        <v>328</v>
      </c>
      <c r="E39" s="4" t="s">
        <v>329</v>
      </c>
      <c r="F39" s="4" t="s">
        <v>330</v>
      </c>
    </row>
    <row r="40" spans="1:6" ht="45" customHeight="1" x14ac:dyDescent="0.35">
      <c r="A40" s="3" t="s">
        <v>139</v>
      </c>
      <c r="B40" s="9" t="s">
        <v>331</v>
      </c>
      <c r="C40" s="9" t="s">
        <v>332</v>
      </c>
      <c r="D40" s="9" t="s">
        <v>333</v>
      </c>
    </row>
    <row r="41" spans="1:6" ht="45" customHeight="1" x14ac:dyDescent="0.35">
      <c r="A41" s="3" t="s">
        <v>139</v>
      </c>
      <c r="B41" s="9" t="s">
        <v>284</v>
      </c>
      <c r="C41" s="9" t="s">
        <v>334</v>
      </c>
      <c r="D41" s="9" t="s">
        <v>249</v>
      </c>
    </row>
    <row r="42" spans="1:6" ht="45" customHeight="1" x14ac:dyDescent="0.35">
      <c r="A42" s="3" t="s">
        <v>139</v>
      </c>
      <c r="B42" s="9" t="s">
        <v>335</v>
      </c>
      <c r="C42" s="9" t="s">
        <v>336</v>
      </c>
      <c r="D42" s="9" t="s">
        <v>337</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6"/>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6328125" defaultRowHeight="14.5" x14ac:dyDescent="0.35"/>
  <cols>
    <col min="1" max="1" width="20" customWidth="1"/>
    <col min="2" max="2" width="14" customWidth="1"/>
    <col min="3" max="3" width="44" customWidth="1"/>
    <col min="4" max="4" width="8" customWidth="1"/>
    <col min="5" max="5" width="30" customWidth="1"/>
    <col min="6" max="6" width="18" customWidth="1"/>
    <col min="7" max="7" width="16" customWidth="1"/>
    <col min="8" max="8" width="14" customWidth="1"/>
    <col min="9" max="10" width="40" customWidth="1"/>
    <col min="11" max="11" width="26" customWidth="1"/>
    <col min="12" max="12" width="30" customWidth="1"/>
    <col min="13" max="13" width="16" customWidth="1"/>
    <col min="14" max="14" width="26" customWidth="1"/>
    <col min="15" max="15" width="18" customWidth="1"/>
    <col min="16" max="16" width="16" customWidth="1"/>
  </cols>
  <sheetData>
    <row r="1" spans="1:16" ht="25.5" customHeight="1" x14ac:dyDescent="0.35">
      <c r="A1" s="2" t="s">
        <v>338</v>
      </c>
      <c r="B1" s="2"/>
      <c r="C1" s="2"/>
      <c r="D1" s="2"/>
      <c r="E1" s="2"/>
      <c r="F1" s="2"/>
      <c r="G1" s="2"/>
      <c r="H1" s="2"/>
      <c r="I1" s="2"/>
      <c r="J1" s="2"/>
      <c r="K1" s="2"/>
      <c r="L1" s="2"/>
      <c r="M1" s="2"/>
      <c r="N1" s="2"/>
      <c r="O1" s="2"/>
      <c r="P1" s="2"/>
    </row>
    <row r="2" spans="1:16" ht="15.75" customHeight="1" x14ac:dyDescent="0.35">
      <c r="A2" s="1" t="s">
        <v>339</v>
      </c>
      <c r="B2" s="1"/>
      <c r="C2" s="1"/>
      <c r="D2" s="1"/>
      <c r="E2" s="1"/>
      <c r="F2" s="1"/>
      <c r="G2" s="1"/>
      <c r="H2" s="1"/>
      <c r="I2" s="1"/>
      <c r="J2" s="1"/>
      <c r="K2" s="1"/>
      <c r="L2" s="1"/>
      <c r="M2" s="1"/>
      <c r="N2" s="1"/>
      <c r="O2" s="1"/>
      <c r="P2" s="1"/>
    </row>
    <row r="4" spans="1:16" ht="28" x14ac:dyDescent="0.35">
      <c r="A4" s="5" t="s">
        <v>165</v>
      </c>
      <c r="B4" s="5" t="s">
        <v>340</v>
      </c>
      <c r="C4" s="5" t="s">
        <v>341</v>
      </c>
      <c r="D4" s="5" t="s">
        <v>342</v>
      </c>
      <c r="E4" s="5" t="s">
        <v>343</v>
      </c>
      <c r="F4" s="5" t="s">
        <v>344</v>
      </c>
      <c r="G4" s="5" t="s">
        <v>345</v>
      </c>
      <c r="H4" s="5" t="s">
        <v>346</v>
      </c>
      <c r="I4" s="5" t="s">
        <v>347</v>
      </c>
      <c r="J4" s="5" t="s">
        <v>348</v>
      </c>
      <c r="K4" s="5" t="s">
        <v>349</v>
      </c>
      <c r="L4" s="5" t="s">
        <v>350</v>
      </c>
      <c r="M4" s="5" t="s">
        <v>351</v>
      </c>
      <c r="N4" s="5" t="s">
        <v>352</v>
      </c>
      <c r="O4" s="5" t="s">
        <v>353</v>
      </c>
      <c r="P4" s="5" t="s">
        <v>354</v>
      </c>
    </row>
    <row r="5" spans="1:16" ht="45.75" customHeight="1" x14ac:dyDescent="0.35">
      <c r="A5" s="4" t="s">
        <v>122</v>
      </c>
      <c r="B5" s="4" t="s">
        <v>355</v>
      </c>
      <c r="C5" s="4" t="s">
        <v>356</v>
      </c>
      <c r="D5" s="10" t="s">
        <v>233</v>
      </c>
      <c r="E5" s="4" t="s">
        <v>357</v>
      </c>
      <c r="F5" s="4" t="s">
        <v>358</v>
      </c>
      <c r="G5" s="4" t="s">
        <v>359</v>
      </c>
      <c r="H5" s="4" t="s">
        <v>360</v>
      </c>
      <c r="I5" s="4" t="s">
        <v>361</v>
      </c>
      <c r="J5" s="4" t="s">
        <v>362</v>
      </c>
      <c r="K5" s="4" t="s">
        <v>363</v>
      </c>
      <c r="L5" s="4" t="s">
        <v>364</v>
      </c>
      <c r="M5" s="4" t="s">
        <v>365</v>
      </c>
      <c r="N5" s="9" t="s">
        <v>366</v>
      </c>
      <c r="O5" s="10" t="s">
        <v>233</v>
      </c>
      <c r="P5" s="10" t="s">
        <v>233</v>
      </c>
    </row>
    <row r="6" spans="1:16" ht="45.75" customHeight="1" x14ac:dyDescent="0.35">
      <c r="A6" s="4" t="s">
        <v>123</v>
      </c>
      <c r="B6" s="4" t="s">
        <v>355</v>
      </c>
      <c r="C6" s="4" t="s">
        <v>367</v>
      </c>
      <c r="D6" s="10" t="s">
        <v>233</v>
      </c>
      <c r="E6" s="4" t="s">
        <v>368</v>
      </c>
      <c r="F6" s="4" t="s">
        <v>358</v>
      </c>
      <c r="G6" s="4" t="s">
        <v>359</v>
      </c>
      <c r="H6" s="4" t="s">
        <v>360</v>
      </c>
      <c r="I6" s="4" t="s">
        <v>369</v>
      </c>
      <c r="J6" s="4" t="s">
        <v>362</v>
      </c>
      <c r="K6" s="4" t="s">
        <v>370</v>
      </c>
      <c r="L6" s="4" t="s">
        <v>371</v>
      </c>
      <c r="M6" s="9" t="s">
        <v>372</v>
      </c>
      <c r="N6" s="4" t="s">
        <v>373</v>
      </c>
      <c r="O6" s="10" t="s">
        <v>374</v>
      </c>
      <c r="P6" s="10" t="s">
        <v>233</v>
      </c>
    </row>
    <row r="7" spans="1:16" ht="45.75" customHeight="1" x14ac:dyDescent="0.35">
      <c r="A7" s="4" t="s">
        <v>124</v>
      </c>
      <c r="B7" s="4" t="s">
        <v>355</v>
      </c>
      <c r="C7" s="4" t="s">
        <v>375</v>
      </c>
      <c r="D7" s="10" t="s">
        <v>233</v>
      </c>
      <c r="E7" s="4" t="s">
        <v>376</v>
      </c>
      <c r="F7" s="4" t="s">
        <v>377</v>
      </c>
      <c r="G7" s="10" t="s">
        <v>374</v>
      </c>
      <c r="H7" s="4" t="s">
        <v>360</v>
      </c>
      <c r="I7" s="4" t="s">
        <v>378</v>
      </c>
      <c r="J7" s="4" t="s">
        <v>362</v>
      </c>
      <c r="K7" s="4" t="s">
        <v>363</v>
      </c>
      <c r="L7" s="4" t="s">
        <v>364</v>
      </c>
      <c r="M7" s="9" t="s">
        <v>379</v>
      </c>
      <c r="N7" s="9" t="s">
        <v>366</v>
      </c>
      <c r="O7" s="10" t="s">
        <v>233</v>
      </c>
      <c r="P7" s="10" t="s">
        <v>233</v>
      </c>
    </row>
    <row r="8" spans="1:16" ht="45.75" customHeight="1" x14ac:dyDescent="0.35">
      <c r="A8" s="4" t="s">
        <v>126</v>
      </c>
      <c r="B8" s="4" t="s">
        <v>380</v>
      </c>
      <c r="C8" s="4" t="s">
        <v>381</v>
      </c>
      <c r="D8" s="10" t="s">
        <v>233</v>
      </c>
      <c r="E8" s="4" t="s">
        <v>376</v>
      </c>
      <c r="F8" s="4" t="s">
        <v>358</v>
      </c>
      <c r="G8" s="10" t="s">
        <v>374</v>
      </c>
      <c r="H8" s="9" t="s">
        <v>382</v>
      </c>
      <c r="I8" s="4" t="s">
        <v>383</v>
      </c>
      <c r="J8" s="4" t="s">
        <v>384</v>
      </c>
      <c r="K8" s="4" t="s">
        <v>385</v>
      </c>
      <c r="L8" s="9" t="s">
        <v>386</v>
      </c>
      <c r="M8" s="4" t="s">
        <v>387</v>
      </c>
      <c r="N8" s="9" t="s">
        <v>388</v>
      </c>
      <c r="O8" s="4" t="s">
        <v>389</v>
      </c>
      <c r="P8" s="10" t="s">
        <v>233</v>
      </c>
    </row>
    <row r="9" spans="1:16" ht="45.75" customHeight="1" x14ac:dyDescent="0.35">
      <c r="A9" s="4" t="s">
        <v>128</v>
      </c>
      <c r="B9" s="4" t="s">
        <v>390</v>
      </c>
      <c r="C9" s="4" t="s">
        <v>391</v>
      </c>
      <c r="D9" s="10" t="s">
        <v>233</v>
      </c>
      <c r="E9" s="4" t="s">
        <v>376</v>
      </c>
      <c r="F9" s="4" t="s">
        <v>392</v>
      </c>
      <c r="G9" s="4" t="s">
        <v>393</v>
      </c>
      <c r="H9" s="9" t="s">
        <v>394</v>
      </c>
      <c r="I9" s="4" t="s">
        <v>395</v>
      </c>
      <c r="J9" s="4" t="s">
        <v>396</v>
      </c>
      <c r="K9" s="4" t="s">
        <v>397</v>
      </c>
      <c r="L9" s="4" t="s">
        <v>398</v>
      </c>
      <c r="M9" s="9" t="s">
        <v>399</v>
      </c>
      <c r="N9" s="9" t="s">
        <v>400</v>
      </c>
      <c r="O9" s="10" t="s">
        <v>374</v>
      </c>
      <c r="P9" s="10" t="s">
        <v>233</v>
      </c>
    </row>
    <row r="10" spans="1:16" ht="45.75" customHeight="1" x14ac:dyDescent="0.35">
      <c r="A10" s="4" t="s">
        <v>130</v>
      </c>
      <c r="B10" s="4" t="s">
        <v>401</v>
      </c>
      <c r="C10" s="4" t="s">
        <v>402</v>
      </c>
      <c r="D10" s="4" t="s">
        <v>403</v>
      </c>
      <c r="E10" s="4" t="s">
        <v>404</v>
      </c>
      <c r="F10" s="4" t="s">
        <v>358</v>
      </c>
      <c r="G10" s="10" t="s">
        <v>374</v>
      </c>
      <c r="H10" s="9" t="s">
        <v>405</v>
      </c>
      <c r="I10" s="4" t="s">
        <v>406</v>
      </c>
      <c r="J10" s="4" t="s">
        <v>407</v>
      </c>
      <c r="K10" s="4" t="s">
        <v>408</v>
      </c>
      <c r="L10" s="9" t="s">
        <v>386</v>
      </c>
      <c r="M10" s="4" t="s">
        <v>409</v>
      </c>
      <c r="N10" s="4" t="s">
        <v>410</v>
      </c>
      <c r="O10" s="4" t="s">
        <v>411</v>
      </c>
      <c r="P10" s="4" t="s">
        <v>412</v>
      </c>
    </row>
    <row r="11" spans="1:16" ht="45.75" customHeight="1" x14ac:dyDescent="0.35">
      <c r="A11" s="4" t="s">
        <v>131</v>
      </c>
      <c r="B11" s="4" t="s">
        <v>401</v>
      </c>
      <c r="C11" s="4" t="s">
        <v>413</v>
      </c>
      <c r="D11" s="4" t="s">
        <v>414</v>
      </c>
      <c r="E11" s="4" t="s">
        <v>415</v>
      </c>
      <c r="F11" s="4" t="s">
        <v>358</v>
      </c>
      <c r="G11" s="10" t="s">
        <v>374</v>
      </c>
      <c r="H11" s="9" t="s">
        <v>405</v>
      </c>
      <c r="I11" s="4" t="s">
        <v>416</v>
      </c>
      <c r="J11" s="4" t="s">
        <v>417</v>
      </c>
      <c r="K11" s="4" t="s">
        <v>408</v>
      </c>
      <c r="L11" s="4" t="s">
        <v>418</v>
      </c>
      <c r="M11" s="4" t="s">
        <v>409</v>
      </c>
      <c r="N11" s="4" t="s">
        <v>419</v>
      </c>
      <c r="O11" s="10" t="s">
        <v>374</v>
      </c>
      <c r="P11" s="4" t="s">
        <v>420</v>
      </c>
    </row>
    <row r="12" spans="1:16" ht="45.75" customHeight="1" x14ac:dyDescent="0.35">
      <c r="A12" s="4" t="s">
        <v>132</v>
      </c>
      <c r="B12" s="4" t="s">
        <v>421</v>
      </c>
      <c r="C12" s="4" t="s">
        <v>422</v>
      </c>
      <c r="D12" s="4" t="s">
        <v>403</v>
      </c>
      <c r="E12" s="4" t="s">
        <v>376</v>
      </c>
      <c r="F12" s="4" t="s">
        <v>358</v>
      </c>
      <c r="G12" s="10" t="s">
        <v>374</v>
      </c>
      <c r="H12" s="10" t="s">
        <v>374</v>
      </c>
      <c r="I12" s="4" t="s">
        <v>423</v>
      </c>
      <c r="J12" s="4" t="s">
        <v>424</v>
      </c>
      <c r="K12" s="4" t="s">
        <v>408</v>
      </c>
      <c r="L12" s="4" t="s">
        <v>364</v>
      </c>
      <c r="M12" s="4" t="s">
        <v>409</v>
      </c>
      <c r="N12" s="4" t="s">
        <v>425</v>
      </c>
      <c r="O12" s="4" t="s">
        <v>426</v>
      </c>
      <c r="P12" s="10" t="s">
        <v>233</v>
      </c>
    </row>
    <row r="13" spans="1:16" ht="45.75" customHeight="1" x14ac:dyDescent="0.35">
      <c r="A13" s="4" t="s">
        <v>133</v>
      </c>
      <c r="B13" s="4" t="s">
        <v>427</v>
      </c>
      <c r="C13" s="4" t="s">
        <v>413</v>
      </c>
      <c r="D13" s="4" t="s">
        <v>428</v>
      </c>
      <c r="E13" s="4" t="s">
        <v>415</v>
      </c>
      <c r="F13" s="4" t="s">
        <v>358</v>
      </c>
      <c r="G13" s="10" t="s">
        <v>374</v>
      </c>
      <c r="H13" s="4" t="s">
        <v>360</v>
      </c>
      <c r="I13" s="4" t="s">
        <v>429</v>
      </c>
      <c r="J13" s="4" t="s">
        <v>430</v>
      </c>
      <c r="K13" s="4" t="s">
        <v>397</v>
      </c>
      <c r="L13" s="4" t="s">
        <v>431</v>
      </c>
      <c r="M13" s="4" t="s">
        <v>409</v>
      </c>
      <c r="N13" s="4" t="s">
        <v>432</v>
      </c>
      <c r="O13" s="4" t="s">
        <v>433</v>
      </c>
      <c r="P13" s="4" t="s">
        <v>434</v>
      </c>
    </row>
    <row r="14" spans="1:16" ht="45.75" customHeight="1" x14ac:dyDescent="0.35">
      <c r="A14" s="4" t="s">
        <v>135</v>
      </c>
      <c r="B14" s="4" t="s">
        <v>435</v>
      </c>
      <c r="C14" s="4" t="s">
        <v>436</v>
      </c>
      <c r="D14" s="10" t="s">
        <v>374</v>
      </c>
      <c r="E14" s="4" t="s">
        <v>437</v>
      </c>
      <c r="F14" s="4" t="s">
        <v>392</v>
      </c>
      <c r="G14" s="10" t="s">
        <v>374</v>
      </c>
      <c r="H14" s="9" t="s">
        <v>438</v>
      </c>
      <c r="I14" s="9" t="s">
        <v>439</v>
      </c>
      <c r="J14" s="9" t="s">
        <v>440</v>
      </c>
      <c r="K14" s="4" t="s">
        <v>441</v>
      </c>
      <c r="L14" s="4" t="s">
        <v>442</v>
      </c>
      <c r="M14" s="4" t="s">
        <v>409</v>
      </c>
      <c r="N14" s="9" t="s">
        <v>443</v>
      </c>
      <c r="O14" s="10" t="s">
        <v>374</v>
      </c>
      <c r="P14" s="10" t="s">
        <v>233</v>
      </c>
    </row>
    <row r="15" spans="1:16" ht="45.75" customHeight="1" x14ac:dyDescent="0.35">
      <c r="A15" s="4" t="s">
        <v>137</v>
      </c>
      <c r="B15" s="4" t="s">
        <v>435</v>
      </c>
      <c r="C15" s="4" t="s">
        <v>444</v>
      </c>
      <c r="D15" s="10" t="s">
        <v>374</v>
      </c>
      <c r="E15" s="4" t="s">
        <v>445</v>
      </c>
      <c r="F15" s="4" t="s">
        <v>392</v>
      </c>
      <c r="G15" s="10" t="s">
        <v>374</v>
      </c>
      <c r="H15" s="9" t="s">
        <v>438</v>
      </c>
      <c r="I15" s="4" t="s">
        <v>446</v>
      </c>
      <c r="J15" s="9" t="s">
        <v>447</v>
      </c>
      <c r="K15" s="4" t="s">
        <v>441</v>
      </c>
      <c r="L15" s="4" t="s">
        <v>448</v>
      </c>
      <c r="M15" s="4" t="s">
        <v>409</v>
      </c>
      <c r="N15" s="9" t="s">
        <v>449</v>
      </c>
      <c r="O15" s="4" t="s">
        <v>450</v>
      </c>
      <c r="P15" s="10" t="s">
        <v>233</v>
      </c>
    </row>
    <row r="16" spans="1:16" ht="45.75" customHeight="1" x14ac:dyDescent="0.35">
      <c r="A16" s="4" t="s">
        <v>139</v>
      </c>
      <c r="B16" s="4" t="s">
        <v>451</v>
      </c>
      <c r="C16" s="4" t="s">
        <v>452</v>
      </c>
      <c r="D16" s="9" t="s">
        <v>453</v>
      </c>
      <c r="E16" s="4" t="s">
        <v>454</v>
      </c>
      <c r="F16" s="4" t="s">
        <v>455</v>
      </c>
      <c r="G16" s="9" t="s">
        <v>456</v>
      </c>
      <c r="H16" s="9" t="s">
        <v>457</v>
      </c>
      <c r="I16" s="4" t="s">
        <v>458</v>
      </c>
      <c r="J16" s="4" t="s">
        <v>459</v>
      </c>
      <c r="K16" s="4" t="s">
        <v>460</v>
      </c>
      <c r="L16" s="4" t="s">
        <v>418</v>
      </c>
      <c r="M16" s="4" t="s">
        <v>409</v>
      </c>
      <c r="N16" s="4" t="s">
        <v>461</v>
      </c>
      <c r="O16" s="10" t="s">
        <v>374</v>
      </c>
      <c r="P16" s="10" t="s">
        <v>233</v>
      </c>
    </row>
  </sheetData>
  <mergeCells count="2">
    <mergeCell ref="A1:P1"/>
    <mergeCell ref="A2:P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6"/>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6328125" defaultRowHeight="14.5" x14ac:dyDescent="0.35"/>
  <cols>
    <col min="1" max="1" width="20" customWidth="1"/>
    <col min="2" max="2" width="12" customWidth="1"/>
    <col min="3" max="3" width="22" customWidth="1"/>
    <col min="4" max="4" width="24" customWidth="1"/>
    <col min="5" max="5" width="16" customWidth="1"/>
    <col min="6" max="6" width="18" customWidth="1"/>
    <col min="7" max="7" width="16" customWidth="1"/>
    <col min="8" max="8" width="30" customWidth="1"/>
    <col min="9" max="9" width="34" customWidth="1"/>
  </cols>
  <sheetData>
    <row r="1" spans="1:9" ht="25.5" customHeight="1" x14ac:dyDescent="0.35">
      <c r="A1" s="2" t="s">
        <v>30</v>
      </c>
      <c r="B1" s="2"/>
      <c r="C1" s="2"/>
      <c r="D1" s="2"/>
      <c r="E1" s="2"/>
      <c r="F1" s="2"/>
      <c r="G1" s="2"/>
      <c r="H1" s="2"/>
      <c r="I1" s="2"/>
    </row>
    <row r="2" spans="1:9" ht="15.75" customHeight="1" x14ac:dyDescent="0.35">
      <c r="A2" s="1" t="s">
        <v>462</v>
      </c>
      <c r="B2" s="1"/>
      <c r="C2" s="1"/>
      <c r="D2" s="1"/>
      <c r="E2" s="1"/>
      <c r="F2" s="1"/>
      <c r="G2" s="1"/>
      <c r="H2" s="1"/>
      <c r="I2" s="1"/>
    </row>
    <row r="4" spans="1:9" ht="28" x14ac:dyDescent="0.35">
      <c r="A4" s="5" t="s">
        <v>165</v>
      </c>
      <c r="B4" s="5" t="s">
        <v>463</v>
      </c>
      <c r="C4" s="5" t="s">
        <v>464</v>
      </c>
      <c r="D4" s="5" t="s">
        <v>465</v>
      </c>
      <c r="E4" s="5" t="s">
        <v>466</v>
      </c>
      <c r="F4" s="5" t="s">
        <v>467</v>
      </c>
      <c r="G4" s="5" t="s">
        <v>468</v>
      </c>
      <c r="H4" s="5" t="s">
        <v>469</v>
      </c>
      <c r="I4" s="5" t="s">
        <v>470</v>
      </c>
    </row>
    <row r="5" spans="1:9" ht="45.75" customHeight="1" x14ac:dyDescent="0.35">
      <c r="A5" s="4" t="s">
        <v>122</v>
      </c>
      <c r="B5" s="4" t="s">
        <v>471</v>
      </c>
      <c r="C5" s="4" t="s">
        <v>472</v>
      </c>
      <c r="D5" s="4" t="s">
        <v>473</v>
      </c>
      <c r="E5" s="4" t="s">
        <v>474</v>
      </c>
      <c r="F5" s="4" t="s">
        <v>475</v>
      </c>
      <c r="G5" s="10" t="s">
        <v>476</v>
      </c>
      <c r="H5" s="4" t="s">
        <v>477</v>
      </c>
      <c r="I5" s="4" t="s">
        <v>478</v>
      </c>
    </row>
    <row r="6" spans="1:9" ht="45.75" customHeight="1" x14ac:dyDescent="0.35">
      <c r="A6" s="4" t="s">
        <v>123</v>
      </c>
      <c r="B6" s="4" t="s">
        <v>479</v>
      </c>
      <c r="C6" s="4" t="s">
        <v>480</v>
      </c>
      <c r="D6" s="4" t="s">
        <v>473</v>
      </c>
      <c r="E6" s="4" t="s">
        <v>481</v>
      </c>
      <c r="F6" s="4" t="s">
        <v>482</v>
      </c>
      <c r="G6" s="9" t="s">
        <v>483</v>
      </c>
      <c r="H6" s="4" t="s">
        <v>484</v>
      </c>
      <c r="I6" s="4" t="s">
        <v>485</v>
      </c>
    </row>
    <row r="7" spans="1:9" ht="45.75" customHeight="1" x14ac:dyDescent="0.35">
      <c r="A7" s="4" t="s">
        <v>124</v>
      </c>
      <c r="B7" s="4" t="s">
        <v>486</v>
      </c>
      <c r="C7" s="4" t="s">
        <v>472</v>
      </c>
      <c r="D7" s="4" t="s">
        <v>473</v>
      </c>
      <c r="E7" s="4" t="s">
        <v>487</v>
      </c>
      <c r="F7" s="4" t="s">
        <v>488</v>
      </c>
      <c r="G7" s="10" t="s">
        <v>374</v>
      </c>
      <c r="H7" s="4" t="s">
        <v>489</v>
      </c>
      <c r="I7" s="4" t="s">
        <v>485</v>
      </c>
    </row>
    <row r="8" spans="1:9" ht="45.75" customHeight="1" x14ac:dyDescent="0.35">
      <c r="A8" s="4" t="s">
        <v>126</v>
      </c>
      <c r="B8" s="4" t="s">
        <v>490</v>
      </c>
      <c r="C8" s="4" t="s">
        <v>491</v>
      </c>
      <c r="D8" s="4" t="s">
        <v>492</v>
      </c>
      <c r="E8" s="4" t="s">
        <v>493</v>
      </c>
      <c r="F8" s="4" t="s">
        <v>494</v>
      </c>
      <c r="G8" s="10" t="s">
        <v>374</v>
      </c>
      <c r="H8" s="4" t="s">
        <v>495</v>
      </c>
      <c r="I8" s="4" t="s">
        <v>478</v>
      </c>
    </row>
    <row r="9" spans="1:9" ht="45.75" customHeight="1" x14ac:dyDescent="0.35">
      <c r="A9" s="4" t="s">
        <v>128</v>
      </c>
      <c r="B9" s="4" t="s">
        <v>496</v>
      </c>
      <c r="C9" s="4" t="s">
        <v>497</v>
      </c>
      <c r="D9" s="4" t="s">
        <v>498</v>
      </c>
      <c r="E9" s="4" t="s">
        <v>499</v>
      </c>
      <c r="F9" s="4" t="s">
        <v>500</v>
      </c>
      <c r="G9" s="4" t="s">
        <v>501</v>
      </c>
      <c r="H9" s="4" t="s">
        <v>502</v>
      </c>
      <c r="I9" s="4" t="s">
        <v>503</v>
      </c>
    </row>
    <row r="10" spans="1:9" ht="45.75" customHeight="1" x14ac:dyDescent="0.35">
      <c r="A10" s="4" t="s">
        <v>130</v>
      </c>
      <c r="B10" s="4" t="s">
        <v>504</v>
      </c>
      <c r="C10" s="4" t="s">
        <v>505</v>
      </c>
      <c r="D10" s="4" t="s">
        <v>506</v>
      </c>
      <c r="E10" s="4" t="s">
        <v>507</v>
      </c>
      <c r="F10" s="4" t="s">
        <v>475</v>
      </c>
      <c r="G10" s="4" t="s">
        <v>508</v>
      </c>
      <c r="H10" s="4" t="s">
        <v>509</v>
      </c>
      <c r="I10" s="4" t="s">
        <v>510</v>
      </c>
    </row>
    <row r="11" spans="1:9" ht="45.75" customHeight="1" x14ac:dyDescent="0.35">
      <c r="A11" s="4" t="s">
        <v>131</v>
      </c>
      <c r="B11" s="4" t="s">
        <v>511</v>
      </c>
      <c r="C11" s="4" t="s">
        <v>508</v>
      </c>
      <c r="D11" s="4" t="s">
        <v>512</v>
      </c>
      <c r="E11" s="4" t="s">
        <v>499</v>
      </c>
      <c r="F11" s="4" t="s">
        <v>475</v>
      </c>
      <c r="G11" s="4" t="s">
        <v>513</v>
      </c>
      <c r="H11" s="4" t="s">
        <v>514</v>
      </c>
      <c r="I11" s="4" t="s">
        <v>510</v>
      </c>
    </row>
    <row r="12" spans="1:9" ht="45.75" customHeight="1" x14ac:dyDescent="0.35">
      <c r="A12" s="4" t="s">
        <v>132</v>
      </c>
      <c r="B12" s="4" t="s">
        <v>504</v>
      </c>
      <c r="C12" s="4" t="s">
        <v>505</v>
      </c>
      <c r="D12" s="4" t="s">
        <v>506</v>
      </c>
      <c r="E12" s="4" t="s">
        <v>493</v>
      </c>
      <c r="F12" s="4" t="s">
        <v>475</v>
      </c>
      <c r="G12" s="4" t="s">
        <v>508</v>
      </c>
      <c r="H12" s="4" t="s">
        <v>515</v>
      </c>
      <c r="I12" s="4" t="s">
        <v>510</v>
      </c>
    </row>
    <row r="13" spans="1:9" ht="45.75" customHeight="1" x14ac:dyDescent="0.35">
      <c r="A13" s="4" t="s">
        <v>133</v>
      </c>
      <c r="B13" s="4" t="s">
        <v>516</v>
      </c>
      <c r="C13" s="4" t="s">
        <v>517</v>
      </c>
      <c r="D13" s="4" t="s">
        <v>518</v>
      </c>
      <c r="E13" s="4" t="s">
        <v>519</v>
      </c>
      <c r="F13" s="4" t="s">
        <v>475</v>
      </c>
      <c r="G13" s="4" t="s">
        <v>513</v>
      </c>
      <c r="H13" s="4" t="s">
        <v>520</v>
      </c>
      <c r="I13" s="4" t="s">
        <v>521</v>
      </c>
    </row>
    <row r="14" spans="1:9" ht="45.75" customHeight="1" x14ac:dyDescent="0.35">
      <c r="A14" s="4" t="s">
        <v>135</v>
      </c>
      <c r="B14" s="10" t="s">
        <v>522</v>
      </c>
      <c r="C14" s="10" t="s">
        <v>374</v>
      </c>
      <c r="D14" s="10" t="s">
        <v>374</v>
      </c>
      <c r="E14" s="9" t="s">
        <v>523</v>
      </c>
      <c r="F14" s="9" t="s">
        <v>524</v>
      </c>
      <c r="G14" s="9" t="s">
        <v>525</v>
      </c>
      <c r="H14" s="9" t="s">
        <v>526</v>
      </c>
      <c r="I14" s="9" t="s">
        <v>527</v>
      </c>
    </row>
    <row r="15" spans="1:9" ht="45.75" customHeight="1" x14ac:dyDescent="0.35">
      <c r="A15" s="4" t="s">
        <v>137</v>
      </c>
      <c r="B15" s="10" t="s">
        <v>374</v>
      </c>
      <c r="C15" s="10" t="s">
        <v>374</v>
      </c>
      <c r="D15" s="10" t="s">
        <v>374</v>
      </c>
      <c r="E15" s="9" t="s">
        <v>528</v>
      </c>
      <c r="F15" s="9" t="s">
        <v>524</v>
      </c>
      <c r="G15" s="9" t="s">
        <v>529</v>
      </c>
      <c r="H15" s="9" t="s">
        <v>530</v>
      </c>
      <c r="I15" s="9" t="s">
        <v>527</v>
      </c>
    </row>
    <row r="16" spans="1:9" ht="45.75" customHeight="1" x14ac:dyDescent="0.35">
      <c r="A16" s="4" t="s">
        <v>139</v>
      </c>
      <c r="B16" s="9" t="s">
        <v>531</v>
      </c>
      <c r="C16" s="9" t="s">
        <v>532</v>
      </c>
      <c r="D16" s="9" t="s">
        <v>533</v>
      </c>
      <c r="E16" s="9" t="s">
        <v>534</v>
      </c>
      <c r="F16" s="9" t="s">
        <v>535</v>
      </c>
      <c r="G16" s="4" t="s">
        <v>536</v>
      </c>
      <c r="H16" s="9" t="s">
        <v>524</v>
      </c>
      <c r="I16" s="4" t="s">
        <v>537</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6"/>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6328125" defaultRowHeight="14.5" x14ac:dyDescent="0.35"/>
  <cols>
    <col min="1" max="1" width="20" customWidth="1"/>
    <col min="2" max="2" width="32" customWidth="1"/>
    <col min="3" max="3" width="34" customWidth="1"/>
    <col min="4" max="4" width="46" customWidth="1"/>
    <col min="5" max="5" width="28" customWidth="1"/>
    <col min="6" max="6" width="30" customWidth="1"/>
    <col min="7" max="7" width="18" customWidth="1"/>
  </cols>
  <sheetData>
    <row r="1" spans="1:7" ht="25.5" customHeight="1" x14ac:dyDescent="0.35">
      <c r="A1" s="2" t="s">
        <v>538</v>
      </c>
      <c r="B1" s="2"/>
      <c r="C1" s="2"/>
      <c r="D1" s="2"/>
      <c r="E1" s="2"/>
      <c r="F1" s="2"/>
      <c r="G1" s="2"/>
    </row>
    <row r="2" spans="1:7" ht="15.75" customHeight="1" x14ac:dyDescent="0.35">
      <c r="A2" s="1" t="s">
        <v>539</v>
      </c>
      <c r="B2" s="1"/>
      <c r="C2" s="1"/>
      <c r="D2" s="1"/>
      <c r="E2" s="1"/>
      <c r="F2" s="1"/>
      <c r="G2" s="1"/>
    </row>
    <row r="4" spans="1:7" x14ac:dyDescent="0.35">
      <c r="A4" s="5" t="s">
        <v>165</v>
      </c>
      <c r="B4" s="5" t="s">
        <v>540</v>
      </c>
      <c r="C4" s="5" t="s">
        <v>541</v>
      </c>
      <c r="D4" s="5" t="s">
        <v>542</v>
      </c>
      <c r="E4" s="5" t="s">
        <v>543</v>
      </c>
      <c r="F4" s="5" t="s">
        <v>544</v>
      </c>
      <c r="G4" s="5" t="s">
        <v>545</v>
      </c>
    </row>
    <row r="5" spans="1:7" ht="45.75" customHeight="1" x14ac:dyDescent="0.35">
      <c r="A5" s="4" t="s">
        <v>122</v>
      </c>
      <c r="B5" s="4" t="s">
        <v>546</v>
      </c>
      <c r="C5" s="4" t="s">
        <v>547</v>
      </c>
      <c r="D5" s="4" t="s">
        <v>548</v>
      </c>
      <c r="E5" s="4" t="s">
        <v>549</v>
      </c>
      <c r="F5" s="4" t="s">
        <v>550</v>
      </c>
      <c r="G5" s="4" t="s">
        <v>551</v>
      </c>
    </row>
    <row r="6" spans="1:7" ht="45.75" customHeight="1" x14ac:dyDescent="0.35">
      <c r="A6" s="4" t="s">
        <v>123</v>
      </c>
      <c r="B6" s="4" t="s">
        <v>552</v>
      </c>
      <c r="C6" s="4" t="s">
        <v>547</v>
      </c>
      <c r="D6" s="4" t="s">
        <v>553</v>
      </c>
      <c r="E6" s="4" t="s">
        <v>554</v>
      </c>
      <c r="F6" s="4" t="s">
        <v>555</v>
      </c>
      <c r="G6" s="9" t="s">
        <v>556</v>
      </c>
    </row>
    <row r="7" spans="1:7" ht="45.75" customHeight="1" x14ac:dyDescent="0.35">
      <c r="A7" s="4" t="s">
        <v>124</v>
      </c>
      <c r="B7" s="9" t="s">
        <v>557</v>
      </c>
      <c r="C7" s="9" t="s">
        <v>557</v>
      </c>
      <c r="D7" s="9" t="s">
        <v>558</v>
      </c>
      <c r="E7" s="9" t="s">
        <v>559</v>
      </c>
      <c r="F7" s="9" t="s">
        <v>560</v>
      </c>
      <c r="G7" s="9" t="s">
        <v>561</v>
      </c>
    </row>
    <row r="8" spans="1:7" ht="45.75" customHeight="1" x14ac:dyDescent="0.35">
      <c r="A8" s="4" t="s">
        <v>126</v>
      </c>
      <c r="B8" s="4" t="s">
        <v>562</v>
      </c>
      <c r="C8" s="4" t="s">
        <v>563</v>
      </c>
      <c r="D8" s="4" t="s">
        <v>564</v>
      </c>
      <c r="E8" s="4" t="s">
        <v>565</v>
      </c>
      <c r="F8" s="4" t="s">
        <v>566</v>
      </c>
      <c r="G8" s="9" t="s">
        <v>556</v>
      </c>
    </row>
    <row r="9" spans="1:7" ht="45.75" customHeight="1" x14ac:dyDescent="0.35">
      <c r="A9" s="4" t="s">
        <v>128</v>
      </c>
      <c r="B9" s="4" t="s">
        <v>567</v>
      </c>
      <c r="C9" s="4" t="s">
        <v>568</v>
      </c>
      <c r="D9" s="4" t="s">
        <v>569</v>
      </c>
      <c r="E9" s="4" t="s">
        <v>570</v>
      </c>
      <c r="F9" s="4" t="s">
        <v>571</v>
      </c>
      <c r="G9" s="4" t="s">
        <v>572</v>
      </c>
    </row>
    <row r="10" spans="1:7" ht="45.75" customHeight="1" x14ac:dyDescent="0.35">
      <c r="A10" s="4" t="s">
        <v>130</v>
      </c>
      <c r="B10" s="4" t="s">
        <v>573</v>
      </c>
      <c r="C10" s="4" t="s">
        <v>574</v>
      </c>
      <c r="D10" s="4" t="s">
        <v>575</v>
      </c>
      <c r="E10" s="4" t="s">
        <v>576</v>
      </c>
      <c r="F10" s="4" t="s">
        <v>577</v>
      </c>
      <c r="G10" s="9" t="s">
        <v>556</v>
      </c>
    </row>
    <row r="11" spans="1:7" ht="45.75" customHeight="1" x14ac:dyDescent="0.35">
      <c r="A11" s="4" t="s">
        <v>131</v>
      </c>
      <c r="B11" s="4" t="s">
        <v>573</v>
      </c>
      <c r="C11" s="4" t="s">
        <v>578</v>
      </c>
      <c r="D11" s="4" t="s">
        <v>579</v>
      </c>
      <c r="E11" s="4" t="s">
        <v>580</v>
      </c>
      <c r="F11" s="4" t="s">
        <v>581</v>
      </c>
      <c r="G11" s="9" t="s">
        <v>556</v>
      </c>
    </row>
    <row r="12" spans="1:7" ht="45.75" customHeight="1" x14ac:dyDescent="0.35">
      <c r="A12" s="4" t="s">
        <v>132</v>
      </c>
      <c r="B12" s="4" t="s">
        <v>573</v>
      </c>
      <c r="C12" s="4" t="s">
        <v>582</v>
      </c>
      <c r="D12" s="4" t="s">
        <v>583</v>
      </c>
      <c r="E12" s="4" t="s">
        <v>576</v>
      </c>
      <c r="F12" s="4" t="s">
        <v>584</v>
      </c>
      <c r="G12" s="9" t="s">
        <v>556</v>
      </c>
    </row>
    <row r="13" spans="1:7" ht="45.75" customHeight="1" x14ac:dyDescent="0.35">
      <c r="A13" s="4" t="s">
        <v>133</v>
      </c>
      <c r="B13" s="4" t="s">
        <v>573</v>
      </c>
      <c r="C13" s="4" t="s">
        <v>578</v>
      </c>
      <c r="D13" s="4" t="s">
        <v>585</v>
      </c>
      <c r="E13" s="4" t="s">
        <v>580</v>
      </c>
      <c r="F13" s="4" t="s">
        <v>581</v>
      </c>
      <c r="G13" s="9" t="s">
        <v>556</v>
      </c>
    </row>
    <row r="14" spans="1:7" ht="45.75" customHeight="1" x14ac:dyDescent="0.35">
      <c r="A14" s="4" t="s">
        <v>135</v>
      </c>
      <c r="B14" s="9" t="s">
        <v>586</v>
      </c>
      <c r="C14" s="9" t="s">
        <v>586</v>
      </c>
      <c r="D14" s="4" t="s">
        <v>587</v>
      </c>
      <c r="E14" s="9" t="s">
        <v>588</v>
      </c>
      <c r="F14" s="9" t="s">
        <v>588</v>
      </c>
      <c r="G14" s="9" t="s">
        <v>556</v>
      </c>
    </row>
    <row r="15" spans="1:7" ht="45.75" customHeight="1" x14ac:dyDescent="0.35">
      <c r="A15" s="4" t="s">
        <v>137</v>
      </c>
      <c r="B15" s="9" t="s">
        <v>589</v>
      </c>
      <c r="C15" s="9" t="s">
        <v>586</v>
      </c>
      <c r="D15" s="4" t="s">
        <v>590</v>
      </c>
      <c r="E15" s="9" t="s">
        <v>591</v>
      </c>
      <c r="F15" s="9" t="s">
        <v>591</v>
      </c>
      <c r="G15" s="9" t="s">
        <v>556</v>
      </c>
    </row>
    <row r="16" spans="1:7" ht="45.75" customHeight="1" x14ac:dyDescent="0.35">
      <c r="A16" s="4" t="s">
        <v>139</v>
      </c>
      <c r="B16" s="9" t="s">
        <v>592</v>
      </c>
      <c r="C16" s="9" t="s">
        <v>593</v>
      </c>
      <c r="D16" s="4" t="s">
        <v>594</v>
      </c>
      <c r="E16" s="9" t="s">
        <v>595</v>
      </c>
      <c r="F16" s="9" t="s">
        <v>596</v>
      </c>
      <c r="G16" s="9" t="s">
        <v>597</v>
      </c>
    </row>
  </sheetData>
  <mergeCells count="2">
    <mergeCell ref="A1:G1"/>
    <mergeCell ref="A2:G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6"/>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6328125" defaultRowHeight="14.5" x14ac:dyDescent="0.35"/>
  <cols>
    <col min="1" max="1" width="20" customWidth="1"/>
    <col min="2" max="4" width="46" customWidth="1"/>
  </cols>
  <sheetData>
    <row r="1" spans="1:4" ht="25.5" customHeight="1" x14ac:dyDescent="0.35">
      <c r="A1" s="2" t="s">
        <v>598</v>
      </c>
      <c r="B1" s="2"/>
      <c r="C1" s="2"/>
      <c r="D1" s="2"/>
    </row>
    <row r="2" spans="1:4" ht="15.75" customHeight="1" x14ac:dyDescent="0.35">
      <c r="A2" s="1" t="s">
        <v>599</v>
      </c>
      <c r="B2" s="1"/>
      <c r="C2" s="1"/>
      <c r="D2" s="1"/>
    </row>
    <row r="4" spans="1:4" x14ac:dyDescent="0.35">
      <c r="A4" s="5" t="s">
        <v>165</v>
      </c>
      <c r="B4" s="5" t="s">
        <v>600</v>
      </c>
      <c r="C4" s="5" t="s">
        <v>601</v>
      </c>
      <c r="D4" s="5" t="s">
        <v>602</v>
      </c>
    </row>
    <row r="5" spans="1:4" ht="45.75" customHeight="1" x14ac:dyDescent="0.35">
      <c r="A5" s="4" t="s">
        <v>122</v>
      </c>
      <c r="B5" s="10" t="s">
        <v>233</v>
      </c>
      <c r="C5" s="4" t="s">
        <v>603</v>
      </c>
      <c r="D5" s="4" t="s">
        <v>604</v>
      </c>
    </row>
    <row r="6" spans="1:4" ht="45.75" customHeight="1" x14ac:dyDescent="0.35">
      <c r="A6" s="4" t="s">
        <v>123</v>
      </c>
      <c r="B6" s="10" t="s">
        <v>233</v>
      </c>
      <c r="C6" s="4" t="s">
        <v>603</v>
      </c>
      <c r="D6" s="4" t="s">
        <v>604</v>
      </c>
    </row>
    <row r="7" spans="1:4" ht="45.75" customHeight="1" x14ac:dyDescent="0.35">
      <c r="A7" s="4" t="s">
        <v>124</v>
      </c>
      <c r="B7" s="10" t="s">
        <v>233</v>
      </c>
      <c r="C7" s="4" t="s">
        <v>603</v>
      </c>
      <c r="D7" s="4" t="s">
        <v>604</v>
      </c>
    </row>
    <row r="8" spans="1:4" ht="45.75" customHeight="1" x14ac:dyDescent="0.35">
      <c r="A8" s="4" t="s">
        <v>126</v>
      </c>
      <c r="B8" s="10" t="s">
        <v>233</v>
      </c>
      <c r="C8" s="4" t="s">
        <v>605</v>
      </c>
      <c r="D8" s="4" t="s">
        <v>606</v>
      </c>
    </row>
    <row r="9" spans="1:4" ht="45.75" customHeight="1" x14ac:dyDescent="0.35">
      <c r="A9" s="4" t="s">
        <v>128</v>
      </c>
      <c r="B9" s="4" t="s">
        <v>607</v>
      </c>
      <c r="C9" s="4" t="s">
        <v>608</v>
      </c>
      <c r="D9" s="4" t="s">
        <v>609</v>
      </c>
    </row>
    <row r="10" spans="1:4" ht="45.75" customHeight="1" x14ac:dyDescent="0.35">
      <c r="A10" s="4" t="s">
        <v>130</v>
      </c>
      <c r="B10" s="4" t="s">
        <v>610</v>
      </c>
      <c r="C10" s="4" t="s">
        <v>611</v>
      </c>
      <c r="D10" s="4" t="s">
        <v>612</v>
      </c>
    </row>
    <row r="11" spans="1:4" ht="45.75" customHeight="1" x14ac:dyDescent="0.35">
      <c r="A11" s="4" t="s">
        <v>131</v>
      </c>
      <c r="B11" s="4" t="s">
        <v>610</v>
      </c>
      <c r="C11" s="4" t="s">
        <v>613</v>
      </c>
      <c r="D11" s="4" t="s">
        <v>614</v>
      </c>
    </row>
    <row r="12" spans="1:4" ht="45.75" customHeight="1" x14ac:dyDescent="0.35">
      <c r="A12" s="4" t="s">
        <v>132</v>
      </c>
      <c r="B12" s="4" t="s">
        <v>610</v>
      </c>
      <c r="C12" s="4" t="s">
        <v>611</v>
      </c>
      <c r="D12" s="4" t="s">
        <v>615</v>
      </c>
    </row>
    <row r="13" spans="1:4" ht="45.75" customHeight="1" x14ac:dyDescent="0.35">
      <c r="A13" s="4" t="s">
        <v>133</v>
      </c>
      <c r="B13" s="4" t="s">
        <v>616</v>
      </c>
      <c r="C13" s="4" t="s">
        <v>617</v>
      </c>
      <c r="D13" s="4" t="s">
        <v>618</v>
      </c>
    </row>
    <row r="14" spans="1:4" ht="45.75" customHeight="1" x14ac:dyDescent="0.35">
      <c r="A14" s="4" t="s">
        <v>135</v>
      </c>
      <c r="B14" s="4" t="s">
        <v>619</v>
      </c>
      <c r="C14" s="4" t="s">
        <v>620</v>
      </c>
      <c r="D14" s="4" t="s">
        <v>621</v>
      </c>
    </row>
    <row r="15" spans="1:4" ht="45.75" customHeight="1" x14ac:dyDescent="0.35">
      <c r="A15" s="4" t="s">
        <v>137</v>
      </c>
      <c r="B15" s="4" t="s">
        <v>622</v>
      </c>
      <c r="C15" s="9" t="s">
        <v>623</v>
      </c>
      <c r="D15" s="4" t="s">
        <v>624</v>
      </c>
    </row>
    <row r="16" spans="1:4" ht="45.75" customHeight="1" x14ac:dyDescent="0.35">
      <c r="A16" s="4" t="s">
        <v>139</v>
      </c>
      <c r="B16" s="4" t="s">
        <v>625</v>
      </c>
      <c r="C16" s="4" t="s">
        <v>626</v>
      </c>
      <c r="D16" s="4" t="s">
        <v>627</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6"/>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6328125" defaultRowHeight="14.5" x14ac:dyDescent="0.35"/>
  <cols>
    <col min="1" max="1" width="20" customWidth="1"/>
    <col min="2" max="2" width="48" customWidth="1"/>
    <col min="3" max="3" width="26" customWidth="1"/>
    <col min="4" max="5" width="60" customWidth="1"/>
    <col min="6" max="6" width="40" customWidth="1"/>
  </cols>
  <sheetData>
    <row r="1" spans="1:6" ht="25.5" customHeight="1" x14ac:dyDescent="0.35">
      <c r="A1" s="2" t="s">
        <v>628</v>
      </c>
      <c r="B1" s="2"/>
      <c r="C1" s="2"/>
      <c r="D1" s="2"/>
      <c r="E1" s="2"/>
      <c r="F1" s="2"/>
    </row>
    <row r="2" spans="1:6" ht="15.75" customHeight="1" x14ac:dyDescent="0.35">
      <c r="A2" s="1" t="s">
        <v>629</v>
      </c>
      <c r="B2" s="1"/>
      <c r="C2" s="1"/>
      <c r="D2" s="1"/>
      <c r="E2" s="1"/>
      <c r="F2" s="1"/>
    </row>
    <row r="4" spans="1:6" x14ac:dyDescent="0.35">
      <c r="A4" s="5" t="s">
        <v>165</v>
      </c>
      <c r="B4" s="5" t="s">
        <v>630</v>
      </c>
      <c r="C4" s="5" t="s">
        <v>631</v>
      </c>
      <c r="D4" s="5" t="s">
        <v>632</v>
      </c>
      <c r="E4" s="5" t="s">
        <v>633</v>
      </c>
      <c r="F4" s="5" t="s">
        <v>634</v>
      </c>
    </row>
    <row r="5" spans="1:6" ht="45.75" customHeight="1" x14ac:dyDescent="0.35">
      <c r="A5" s="4" t="s">
        <v>122</v>
      </c>
      <c r="B5" s="4" t="s">
        <v>635</v>
      </c>
      <c r="C5" s="10" t="s">
        <v>233</v>
      </c>
      <c r="D5" s="4" t="s">
        <v>636</v>
      </c>
      <c r="E5" s="10" t="s">
        <v>233</v>
      </c>
      <c r="F5" s="4" t="s">
        <v>637</v>
      </c>
    </row>
    <row r="6" spans="1:6" ht="45.75" customHeight="1" x14ac:dyDescent="0.35">
      <c r="A6" s="4" t="s">
        <v>123</v>
      </c>
      <c r="B6" s="4" t="s">
        <v>638</v>
      </c>
      <c r="C6" s="10" t="s">
        <v>233</v>
      </c>
      <c r="D6" s="4" t="s">
        <v>639</v>
      </c>
      <c r="E6" s="10" t="s">
        <v>233</v>
      </c>
      <c r="F6" s="4" t="s">
        <v>640</v>
      </c>
    </row>
    <row r="7" spans="1:6" ht="45.75" customHeight="1" x14ac:dyDescent="0.35">
      <c r="A7" s="4" t="s">
        <v>124</v>
      </c>
      <c r="B7" s="9" t="s">
        <v>641</v>
      </c>
      <c r="C7" s="10" t="s">
        <v>233</v>
      </c>
      <c r="D7" s="9" t="s">
        <v>642</v>
      </c>
      <c r="E7" s="10" t="s">
        <v>233</v>
      </c>
      <c r="F7" s="4" t="s">
        <v>643</v>
      </c>
    </row>
    <row r="8" spans="1:6" ht="45.75" customHeight="1" x14ac:dyDescent="0.35">
      <c r="A8" s="4" t="s">
        <v>126</v>
      </c>
      <c r="B8" s="4" t="s">
        <v>644</v>
      </c>
      <c r="C8" s="10" t="s">
        <v>233</v>
      </c>
      <c r="D8" s="4" t="s">
        <v>645</v>
      </c>
      <c r="E8" s="4" t="s">
        <v>646</v>
      </c>
      <c r="F8" s="4" t="s">
        <v>647</v>
      </c>
    </row>
    <row r="9" spans="1:6" ht="45.75" customHeight="1" x14ac:dyDescent="0.35">
      <c r="A9" s="4" t="s">
        <v>128</v>
      </c>
      <c r="B9" s="4" t="s">
        <v>648</v>
      </c>
      <c r="C9" s="10" t="s">
        <v>233</v>
      </c>
      <c r="D9" s="4" t="s">
        <v>649</v>
      </c>
      <c r="E9" s="10" t="s">
        <v>233</v>
      </c>
      <c r="F9" s="4" t="s">
        <v>650</v>
      </c>
    </row>
    <row r="10" spans="1:6" ht="45.75" customHeight="1" x14ac:dyDescent="0.35">
      <c r="A10" s="4" t="s">
        <v>130</v>
      </c>
      <c r="B10" s="4" t="s">
        <v>651</v>
      </c>
      <c r="C10" s="4" t="s">
        <v>652</v>
      </c>
      <c r="D10" s="4" t="s">
        <v>653</v>
      </c>
      <c r="E10" s="4" t="s">
        <v>654</v>
      </c>
      <c r="F10" s="4" t="s">
        <v>655</v>
      </c>
    </row>
    <row r="11" spans="1:6" ht="45.75" customHeight="1" x14ac:dyDescent="0.35">
      <c r="A11" s="4" t="s">
        <v>131</v>
      </c>
      <c r="B11" s="4" t="s">
        <v>656</v>
      </c>
      <c r="C11" s="4" t="s">
        <v>657</v>
      </c>
      <c r="D11" s="4" t="s">
        <v>658</v>
      </c>
      <c r="E11" s="4" t="s">
        <v>659</v>
      </c>
      <c r="F11" s="4" t="s">
        <v>660</v>
      </c>
    </row>
    <row r="12" spans="1:6" ht="45.75" customHeight="1" x14ac:dyDescent="0.35">
      <c r="A12" s="4" t="s">
        <v>132</v>
      </c>
      <c r="B12" s="9" t="s">
        <v>661</v>
      </c>
      <c r="C12" s="4" t="s">
        <v>652</v>
      </c>
      <c r="D12" s="4" t="s">
        <v>662</v>
      </c>
      <c r="E12" s="4" t="s">
        <v>663</v>
      </c>
      <c r="F12" s="4" t="s">
        <v>655</v>
      </c>
    </row>
    <row r="13" spans="1:6" ht="45.75" customHeight="1" x14ac:dyDescent="0.35">
      <c r="A13" s="4" t="s">
        <v>133</v>
      </c>
      <c r="B13" s="4" t="s">
        <v>664</v>
      </c>
      <c r="C13" s="4" t="s">
        <v>657</v>
      </c>
      <c r="D13" s="4" t="s">
        <v>665</v>
      </c>
      <c r="E13" s="4" t="s">
        <v>666</v>
      </c>
      <c r="F13" s="4" t="s">
        <v>667</v>
      </c>
    </row>
    <row r="14" spans="1:6" ht="45.75" customHeight="1" x14ac:dyDescent="0.35">
      <c r="A14" s="4" t="s">
        <v>135</v>
      </c>
      <c r="B14" s="4" t="s">
        <v>668</v>
      </c>
      <c r="C14" s="4" t="s">
        <v>669</v>
      </c>
      <c r="D14" s="4" t="s">
        <v>670</v>
      </c>
      <c r="E14" s="4" t="s">
        <v>671</v>
      </c>
      <c r="F14" s="4" t="s">
        <v>672</v>
      </c>
    </row>
    <row r="15" spans="1:6" ht="45.75" customHeight="1" x14ac:dyDescent="0.35">
      <c r="A15" s="4" t="s">
        <v>137</v>
      </c>
      <c r="B15" s="4" t="s">
        <v>673</v>
      </c>
      <c r="C15" s="4" t="s">
        <v>674</v>
      </c>
      <c r="D15" s="4" t="s">
        <v>675</v>
      </c>
      <c r="E15" s="4" t="s">
        <v>676</v>
      </c>
      <c r="F15" s="10" t="s">
        <v>233</v>
      </c>
    </row>
    <row r="16" spans="1:6" ht="45.75" customHeight="1" x14ac:dyDescent="0.35">
      <c r="A16" s="4" t="s">
        <v>139</v>
      </c>
      <c r="B16" s="4" t="s">
        <v>677</v>
      </c>
      <c r="C16" s="4" t="s">
        <v>678</v>
      </c>
      <c r="D16" s="4" t="s">
        <v>679</v>
      </c>
      <c r="E16" s="4" t="s">
        <v>680</v>
      </c>
      <c r="F16" s="4" t="s">
        <v>681</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6"/>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6328125" defaultRowHeight="14.5" x14ac:dyDescent="0.35"/>
  <cols>
    <col min="1" max="1" width="20" customWidth="1"/>
    <col min="2" max="2" width="30" customWidth="1"/>
    <col min="3" max="3" width="26" customWidth="1"/>
    <col min="4" max="5" width="55" customWidth="1"/>
  </cols>
  <sheetData>
    <row r="1" spans="1:5" ht="25.5" customHeight="1" x14ac:dyDescent="0.35">
      <c r="A1" s="2" t="s">
        <v>38</v>
      </c>
      <c r="B1" s="2"/>
      <c r="C1" s="2"/>
      <c r="D1" s="2"/>
      <c r="E1" s="2"/>
    </row>
    <row r="2" spans="1:5" ht="15.75" customHeight="1" x14ac:dyDescent="0.35">
      <c r="A2" s="1" t="s">
        <v>682</v>
      </c>
      <c r="B2" s="1"/>
      <c r="C2" s="1"/>
      <c r="D2" s="1"/>
      <c r="E2" s="1"/>
    </row>
    <row r="4" spans="1:5" ht="28" x14ac:dyDescent="0.35">
      <c r="A4" s="5" t="s">
        <v>165</v>
      </c>
      <c r="B4" s="5" t="s">
        <v>683</v>
      </c>
      <c r="C4" s="5" t="s">
        <v>684</v>
      </c>
      <c r="D4" s="5" t="s">
        <v>685</v>
      </c>
      <c r="E4" s="5" t="s">
        <v>686</v>
      </c>
    </row>
    <row r="5" spans="1:5" ht="45.75" customHeight="1" x14ac:dyDescent="0.35">
      <c r="A5" s="4" t="s">
        <v>122</v>
      </c>
      <c r="B5" s="10" t="s">
        <v>233</v>
      </c>
      <c r="C5" s="4" t="s">
        <v>687</v>
      </c>
      <c r="D5" s="4" t="s">
        <v>688</v>
      </c>
      <c r="E5" s="4" t="s">
        <v>689</v>
      </c>
    </row>
    <row r="6" spans="1:5" ht="45.75" customHeight="1" x14ac:dyDescent="0.35">
      <c r="A6" s="4" t="s">
        <v>123</v>
      </c>
      <c r="B6" s="10" t="s">
        <v>233</v>
      </c>
      <c r="C6" s="4" t="s">
        <v>687</v>
      </c>
      <c r="D6" s="4" t="s">
        <v>688</v>
      </c>
      <c r="E6" s="4" t="s">
        <v>689</v>
      </c>
    </row>
    <row r="7" spans="1:5" ht="45.75" customHeight="1" x14ac:dyDescent="0.35">
      <c r="A7" s="4" t="s">
        <v>124</v>
      </c>
      <c r="B7" s="10" t="s">
        <v>233</v>
      </c>
      <c r="C7" s="4" t="s">
        <v>690</v>
      </c>
      <c r="D7" s="4" t="s">
        <v>688</v>
      </c>
      <c r="E7" s="4" t="s">
        <v>689</v>
      </c>
    </row>
    <row r="8" spans="1:5" ht="45.75" customHeight="1" x14ac:dyDescent="0.35">
      <c r="A8" s="4" t="s">
        <v>126</v>
      </c>
      <c r="B8" s="10" t="s">
        <v>233</v>
      </c>
      <c r="C8" s="4" t="s">
        <v>691</v>
      </c>
      <c r="D8" s="4" t="s">
        <v>646</v>
      </c>
      <c r="E8" s="4" t="s">
        <v>689</v>
      </c>
    </row>
    <row r="9" spans="1:5" ht="45.75" customHeight="1" x14ac:dyDescent="0.35">
      <c r="A9" s="4" t="s">
        <v>128</v>
      </c>
      <c r="B9" s="10" t="s">
        <v>233</v>
      </c>
      <c r="C9" s="10" t="s">
        <v>233</v>
      </c>
      <c r="D9" s="10" t="s">
        <v>233</v>
      </c>
      <c r="E9" s="4" t="s">
        <v>689</v>
      </c>
    </row>
    <row r="10" spans="1:5" ht="45.75" customHeight="1" x14ac:dyDescent="0.35">
      <c r="A10" s="4" t="s">
        <v>130</v>
      </c>
      <c r="B10" s="10" t="s">
        <v>233</v>
      </c>
      <c r="C10" s="10" t="s">
        <v>233</v>
      </c>
      <c r="D10" s="4" t="s">
        <v>654</v>
      </c>
      <c r="E10" s="4" t="s">
        <v>689</v>
      </c>
    </row>
    <row r="11" spans="1:5" ht="45.75" customHeight="1" x14ac:dyDescent="0.35">
      <c r="A11" s="4" t="s">
        <v>131</v>
      </c>
      <c r="B11" s="10" t="s">
        <v>233</v>
      </c>
      <c r="C11" s="10" t="s">
        <v>233</v>
      </c>
      <c r="D11" s="4" t="s">
        <v>692</v>
      </c>
      <c r="E11" s="4" t="s">
        <v>689</v>
      </c>
    </row>
    <row r="12" spans="1:5" ht="45.75" customHeight="1" x14ac:dyDescent="0.35">
      <c r="A12" s="4" t="s">
        <v>132</v>
      </c>
      <c r="B12" s="10" t="s">
        <v>233</v>
      </c>
      <c r="C12" s="10" t="s">
        <v>233</v>
      </c>
      <c r="D12" s="4" t="s">
        <v>663</v>
      </c>
      <c r="E12" s="4" t="s">
        <v>689</v>
      </c>
    </row>
    <row r="13" spans="1:5" ht="45.75" customHeight="1" x14ac:dyDescent="0.35">
      <c r="A13" s="4" t="s">
        <v>133</v>
      </c>
      <c r="B13" s="10" t="s">
        <v>233</v>
      </c>
      <c r="C13" s="4" t="s">
        <v>693</v>
      </c>
      <c r="D13" s="4" t="s">
        <v>666</v>
      </c>
      <c r="E13" s="4" t="s">
        <v>689</v>
      </c>
    </row>
    <row r="14" spans="1:5" ht="45.75" customHeight="1" x14ac:dyDescent="0.35">
      <c r="A14" s="4" t="s">
        <v>135</v>
      </c>
      <c r="B14" s="10" t="s">
        <v>233</v>
      </c>
      <c r="C14" s="10" t="s">
        <v>233</v>
      </c>
      <c r="D14" s="4" t="s">
        <v>671</v>
      </c>
      <c r="E14" s="4" t="s">
        <v>689</v>
      </c>
    </row>
    <row r="15" spans="1:5" ht="45.75" customHeight="1" x14ac:dyDescent="0.35">
      <c r="A15" s="4" t="s">
        <v>137</v>
      </c>
      <c r="B15" s="10" t="s">
        <v>233</v>
      </c>
      <c r="C15" s="10" t="s">
        <v>233</v>
      </c>
      <c r="D15" s="4" t="s">
        <v>676</v>
      </c>
      <c r="E15" s="4" t="s">
        <v>689</v>
      </c>
    </row>
    <row r="16" spans="1:5" ht="45.75" customHeight="1" x14ac:dyDescent="0.35">
      <c r="A16" s="4" t="s">
        <v>139</v>
      </c>
      <c r="B16" s="10" t="s">
        <v>233</v>
      </c>
      <c r="C16" s="10" t="s">
        <v>233</v>
      </c>
      <c r="D16" s="4" t="s">
        <v>680</v>
      </c>
      <c r="E16" s="4" t="s">
        <v>689</v>
      </c>
    </row>
  </sheetData>
  <mergeCells count="2">
    <mergeCell ref="A1:E1"/>
    <mergeCell ref="A2:E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6"/>
  <sheetViews>
    <sheetView zoomScaleNormal="100" workbookViewId="0">
      <pane ySplit="3" topLeftCell="A4" activePane="bottomLeft" state="frozen"/>
      <selection pane="bottomLeft"/>
    </sheetView>
  </sheetViews>
  <sheetFormatPr defaultColWidth="8.6328125" defaultRowHeight="14.5" x14ac:dyDescent="0.35"/>
  <cols>
    <col min="1" max="1" width="20" customWidth="1"/>
    <col min="2" max="2" width="110" customWidth="1"/>
  </cols>
  <sheetData>
    <row r="1" spans="1:2" ht="25.5" customHeight="1" x14ac:dyDescent="0.35">
      <c r="A1" s="2" t="s">
        <v>694</v>
      </c>
      <c r="B1" s="2"/>
    </row>
    <row r="2" spans="1:2" ht="15.75" customHeight="1" x14ac:dyDescent="0.35">
      <c r="A2" s="1" t="s">
        <v>695</v>
      </c>
      <c r="B2" s="1"/>
    </row>
    <row r="4" spans="1:2" x14ac:dyDescent="0.35">
      <c r="A4" s="5" t="s">
        <v>165</v>
      </c>
      <c r="B4" s="5" t="s">
        <v>696</v>
      </c>
    </row>
    <row r="5" spans="1:2" ht="60" customHeight="1" x14ac:dyDescent="0.35">
      <c r="A5" s="3" t="s">
        <v>122</v>
      </c>
      <c r="B5" s="4" t="s">
        <v>697</v>
      </c>
    </row>
    <row r="6" spans="1:2" ht="60" customHeight="1" x14ac:dyDescent="0.35">
      <c r="A6" s="3" t="s">
        <v>123</v>
      </c>
      <c r="B6" s="4" t="s">
        <v>698</v>
      </c>
    </row>
    <row r="7" spans="1:2" ht="60" customHeight="1" x14ac:dyDescent="0.35">
      <c r="A7" s="3" t="s">
        <v>124</v>
      </c>
      <c r="B7" s="4" t="s">
        <v>699</v>
      </c>
    </row>
    <row r="8" spans="1:2" ht="60" customHeight="1" x14ac:dyDescent="0.35">
      <c r="A8" s="3" t="s">
        <v>126</v>
      </c>
      <c r="B8" s="4" t="s">
        <v>700</v>
      </c>
    </row>
    <row r="9" spans="1:2" ht="60" customHeight="1" x14ac:dyDescent="0.35">
      <c r="A9" s="3" t="s">
        <v>128</v>
      </c>
      <c r="B9" s="4" t="s">
        <v>701</v>
      </c>
    </row>
    <row r="10" spans="1:2" ht="60" customHeight="1" x14ac:dyDescent="0.35">
      <c r="A10" s="3" t="s">
        <v>130</v>
      </c>
      <c r="B10" s="4" t="s">
        <v>702</v>
      </c>
    </row>
    <row r="11" spans="1:2" ht="60" customHeight="1" x14ac:dyDescent="0.35">
      <c r="A11" s="3" t="s">
        <v>131</v>
      </c>
      <c r="B11" s="4" t="s">
        <v>703</v>
      </c>
    </row>
    <row r="12" spans="1:2" ht="60" customHeight="1" x14ac:dyDescent="0.35">
      <c r="A12" s="3" t="s">
        <v>132</v>
      </c>
      <c r="B12" s="4" t="s">
        <v>704</v>
      </c>
    </row>
    <row r="13" spans="1:2" ht="60" customHeight="1" x14ac:dyDescent="0.35">
      <c r="A13" s="3" t="s">
        <v>133</v>
      </c>
      <c r="B13" s="4" t="s">
        <v>705</v>
      </c>
    </row>
    <row r="14" spans="1:2" ht="60" customHeight="1" x14ac:dyDescent="0.35">
      <c r="A14" s="3" t="s">
        <v>135</v>
      </c>
      <c r="B14" s="4" t="s">
        <v>706</v>
      </c>
    </row>
    <row r="15" spans="1:2" ht="60" customHeight="1" x14ac:dyDescent="0.35">
      <c r="A15" s="3" t="s">
        <v>137</v>
      </c>
      <c r="B15" s="4" t="s">
        <v>707</v>
      </c>
    </row>
    <row r="16" spans="1:2" ht="60" customHeight="1" x14ac:dyDescent="0.35">
      <c r="A16" s="3" t="s">
        <v>139</v>
      </c>
      <c r="B16" s="4" t="s">
        <v>708</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6"/>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6328125" defaultRowHeight="14.5" x14ac:dyDescent="0.35"/>
  <cols>
    <col min="1" max="1" width="20" customWidth="1"/>
    <col min="2" max="3" width="70" customWidth="1"/>
  </cols>
  <sheetData>
    <row r="1" spans="1:3" ht="25.5" customHeight="1" x14ac:dyDescent="0.35">
      <c r="A1" s="2" t="s">
        <v>42</v>
      </c>
      <c r="B1" s="2"/>
      <c r="C1" s="2"/>
    </row>
    <row r="2" spans="1:3" ht="15.75" customHeight="1" x14ac:dyDescent="0.35">
      <c r="A2" s="1" t="s">
        <v>709</v>
      </c>
      <c r="B2" s="1"/>
      <c r="C2" s="1"/>
    </row>
    <row r="4" spans="1:3" x14ac:dyDescent="0.35">
      <c r="A4" s="5" t="s">
        <v>165</v>
      </c>
      <c r="B4" s="5" t="s">
        <v>710</v>
      </c>
      <c r="C4" s="5" t="s">
        <v>711</v>
      </c>
    </row>
    <row r="5" spans="1:3" ht="45.75" customHeight="1" x14ac:dyDescent="0.35">
      <c r="A5" s="4" t="s">
        <v>122</v>
      </c>
      <c r="B5" s="4" t="s">
        <v>712</v>
      </c>
      <c r="C5" s="4" t="s">
        <v>713</v>
      </c>
    </row>
    <row r="6" spans="1:3" ht="45.75" customHeight="1" x14ac:dyDescent="0.35">
      <c r="A6" s="4" t="s">
        <v>123</v>
      </c>
      <c r="B6" s="4" t="s">
        <v>714</v>
      </c>
      <c r="C6" s="9" t="s">
        <v>715</v>
      </c>
    </row>
    <row r="7" spans="1:3" ht="45.75" customHeight="1" x14ac:dyDescent="0.35">
      <c r="A7" s="4" t="s">
        <v>124</v>
      </c>
      <c r="B7" s="4" t="s">
        <v>716</v>
      </c>
      <c r="C7" s="9" t="s">
        <v>717</v>
      </c>
    </row>
    <row r="8" spans="1:3" ht="45.75" customHeight="1" x14ac:dyDescent="0.35">
      <c r="A8" s="4" t="s">
        <v>126</v>
      </c>
      <c r="B8" s="4" t="s">
        <v>716</v>
      </c>
      <c r="C8" s="9" t="s">
        <v>718</v>
      </c>
    </row>
    <row r="9" spans="1:3" ht="45.75" customHeight="1" x14ac:dyDescent="0.35">
      <c r="A9" s="4" t="s">
        <v>128</v>
      </c>
      <c r="B9" s="4" t="s">
        <v>716</v>
      </c>
      <c r="C9" s="9" t="s">
        <v>719</v>
      </c>
    </row>
    <row r="10" spans="1:3" ht="45.75" customHeight="1" x14ac:dyDescent="0.35">
      <c r="A10" s="4" t="s">
        <v>130</v>
      </c>
      <c r="B10" s="4" t="s">
        <v>720</v>
      </c>
      <c r="C10" s="9" t="s">
        <v>718</v>
      </c>
    </row>
    <row r="11" spans="1:3" ht="45.75" customHeight="1" x14ac:dyDescent="0.35">
      <c r="A11" s="4" t="s">
        <v>131</v>
      </c>
      <c r="B11" s="4" t="s">
        <v>720</v>
      </c>
      <c r="C11" s="9" t="s">
        <v>718</v>
      </c>
    </row>
    <row r="12" spans="1:3" ht="45.75" customHeight="1" x14ac:dyDescent="0.35">
      <c r="A12" s="4" t="s">
        <v>132</v>
      </c>
      <c r="B12" s="4" t="s">
        <v>720</v>
      </c>
      <c r="C12" s="10" t="s">
        <v>721</v>
      </c>
    </row>
    <row r="13" spans="1:3" ht="45.75" customHeight="1" x14ac:dyDescent="0.35">
      <c r="A13" s="4" t="s">
        <v>133</v>
      </c>
      <c r="B13" s="4" t="s">
        <v>720</v>
      </c>
      <c r="C13" s="9" t="s">
        <v>718</v>
      </c>
    </row>
    <row r="14" spans="1:3" ht="45.75" customHeight="1" x14ac:dyDescent="0.35">
      <c r="A14" s="4" t="s">
        <v>135</v>
      </c>
      <c r="B14" s="4" t="s">
        <v>720</v>
      </c>
      <c r="C14" s="10" t="s">
        <v>722</v>
      </c>
    </row>
    <row r="15" spans="1:3" ht="45.75" customHeight="1" x14ac:dyDescent="0.35">
      <c r="A15" s="4" t="s">
        <v>137</v>
      </c>
      <c r="B15" s="4" t="s">
        <v>723</v>
      </c>
      <c r="C15" s="10" t="s">
        <v>722</v>
      </c>
    </row>
    <row r="16" spans="1:3" ht="45.75" customHeight="1" x14ac:dyDescent="0.35">
      <c r="A16" s="4" t="s">
        <v>139</v>
      </c>
      <c r="B16" s="4" t="s">
        <v>724</v>
      </c>
      <c r="C16" s="4" t="s">
        <v>725</v>
      </c>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6"/>
  <sheetViews>
    <sheetView zoomScaleNormal="100" workbookViewId="0">
      <pane ySplit="3" topLeftCell="A4" activePane="bottomLeft" state="frozen"/>
      <selection pane="bottomLeft"/>
    </sheetView>
  </sheetViews>
  <sheetFormatPr defaultColWidth="8.6328125" defaultRowHeight="14.5" x14ac:dyDescent="0.35"/>
  <cols>
    <col min="1" max="1" width="20" customWidth="1"/>
    <col min="2" max="2" width="110" customWidth="1"/>
    <col min="3" max="3" width="14" customWidth="1"/>
  </cols>
  <sheetData>
    <row r="1" spans="1:3" ht="25.5" customHeight="1" x14ac:dyDescent="0.35">
      <c r="A1" s="2" t="s">
        <v>726</v>
      </c>
      <c r="B1" s="2"/>
      <c r="C1" s="2"/>
    </row>
    <row r="2" spans="1:3" ht="15.75" customHeight="1" x14ac:dyDescent="0.35">
      <c r="A2" s="1" t="s">
        <v>727</v>
      </c>
      <c r="B2" s="1"/>
      <c r="C2" s="1"/>
    </row>
    <row r="4" spans="1:3" x14ac:dyDescent="0.35">
      <c r="A4" s="5" t="s">
        <v>165</v>
      </c>
      <c r="B4" s="5" t="s">
        <v>728</v>
      </c>
      <c r="C4" s="5" t="s">
        <v>729</v>
      </c>
    </row>
    <row r="5" spans="1:3" ht="90" customHeight="1" x14ac:dyDescent="0.35">
      <c r="A5" s="3" t="s">
        <v>128</v>
      </c>
      <c r="B5" s="4" t="s">
        <v>730</v>
      </c>
      <c r="C5" s="4" t="s">
        <v>731</v>
      </c>
    </row>
    <row r="6" spans="1:3" ht="90" customHeight="1" x14ac:dyDescent="0.35">
      <c r="A6" s="3" t="s">
        <v>139</v>
      </c>
      <c r="B6" s="4" t="s">
        <v>732</v>
      </c>
      <c r="C6" s="4" t="s">
        <v>731</v>
      </c>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6"/>
  <sheetViews>
    <sheetView zoomScaleNormal="100" workbookViewId="0">
      <pane ySplit="3" topLeftCell="A4" activePane="bottomLeft" state="frozen"/>
      <selection pane="bottomLeft"/>
    </sheetView>
  </sheetViews>
  <sheetFormatPr defaultColWidth="8.6328125" defaultRowHeight="14.5" x14ac:dyDescent="0.35"/>
  <cols>
    <col min="1" max="1" width="22" customWidth="1"/>
    <col min="2" max="2" width="100" customWidth="1"/>
  </cols>
  <sheetData>
    <row r="1" spans="1:2" ht="25.5" customHeight="1" x14ac:dyDescent="0.35">
      <c r="A1" s="2" t="s">
        <v>733</v>
      </c>
      <c r="B1" s="2"/>
    </row>
    <row r="2" spans="1:2" ht="15.75" customHeight="1" x14ac:dyDescent="0.35">
      <c r="A2" s="1" t="s">
        <v>734</v>
      </c>
      <c r="B2" s="1"/>
    </row>
    <row r="4" spans="1:2" x14ac:dyDescent="0.35">
      <c r="A4" s="5" t="s">
        <v>165</v>
      </c>
      <c r="B4" s="5" t="s">
        <v>735</v>
      </c>
    </row>
    <row r="5" spans="1:2" ht="33.75" customHeight="1" x14ac:dyDescent="0.35">
      <c r="A5" s="3" t="s">
        <v>122</v>
      </c>
      <c r="B5" s="9" t="s">
        <v>736</v>
      </c>
    </row>
    <row r="6" spans="1:2" ht="33.75" customHeight="1" x14ac:dyDescent="0.35">
      <c r="A6" s="3" t="s">
        <v>123</v>
      </c>
      <c r="B6" s="9" t="s">
        <v>737</v>
      </c>
    </row>
    <row r="7" spans="1:2" ht="33.75" customHeight="1" x14ac:dyDescent="0.35">
      <c r="A7" s="3" t="s">
        <v>124</v>
      </c>
      <c r="B7" s="9" t="s">
        <v>738</v>
      </c>
    </row>
    <row r="8" spans="1:2" ht="33.75" customHeight="1" x14ac:dyDescent="0.35">
      <c r="A8" s="3" t="s">
        <v>126</v>
      </c>
      <c r="B8" s="9" t="s">
        <v>739</v>
      </c>
    </row>
    <row r="9" spans="1:2" ht="33.75" customHeight="1" x14ac:dyDescent="0.35">
      <c r="A9" s="3" t="s">
        <v>128</v>
      </c>
      <c r="B9" s="9" t="s">
        <v>740</v>
      </c>
    </row>
    <row r="10" spans="1:2" ht="33.75" customHeight="1" x14ac:dyDescent="0.35">
      <c r="A10" s="3" t="s">
        <v>130</v>
      </c>
      <c r="B10" s="9" t="s">
        <v>741</v>
      </c>
    </row>
    <row r="11" spans="1:2" ht="33.75" customHeight="1" x14ac:dyDescent="0.35">
      <c r="A11" s="3" t="s">
        <v>131</v>
      </c>
      <c r="B11" s="9" t="s">
        <v>742</v>
      </c>
    </row>
    <row r="12" spans="1:2" ht="33.75" customHeight="1" x14ac:dyDescent="0.35">
      <c r="A12" s="3" t="s">
        <v>132</v>
      </c>
      <c r="B12" s="9" t="s">
        <v>743</v>
      </c>
    </row>
    <row r="13" spans="1:2" ht="33.75" customHeight="1" x14ac:dyDescent="0.35">
      <c r="A13" s="3" t="s">
        <v>133</v>
      </c>
      <c r="B13" s="9" t="s">
        <v>744</v>
      </c>
    </row>
    <row r="14" spans="1:2" ht="33.75" customHeight="1" x14ac:dyDescent="0.35">
      <c r="A14" s="3" t="s">
        <v>135</v>
      </c>
      <c r="B14" s="9" t="s">
        <v>745</v>
      </c>
    </row>
    <row r="15" spans="1:2" ht="33.75" customHeight="1" x14ac:dyDescent="0.35">
      <c r="A15" s="3" t="s">
        <v>137</v>
      </c>
      <c r="B15" s="9" t="s">
        <v>746</v>
      </c>
    </row>
    <row r="16" spans="1:2" ht="33.75" customHeight="1" x14ac:dyDescent="0.35">
      <c r="A16" s="3" t="s">
        <v>139</v>
      </c>
      <c r="B16" s="9" t="s">
        <v>747</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6"/>
  <sheetViews>
    <sheetView zoomScaleNormal="100" workbookViewId="0">
      <pane xSplit="1" ySplit="3" topLeftCell="B4" activePane="bottomRight" state="frozen"/>
      <selection pane="topRight" activeCell="B1" sqref="B1"/>
      <selection pane="bottomLeft" activeCell="A4" sqref="A4"/>
      <selection pane="bottomRight"/>
    </sheetView>
  </sheetViews>
  <sheetFormatPr defaultColWidth="8.6328125" defaultRowHeight="14.5" x14ac:dyDescent="0.35"/>
  <cols>
    <col min="1" max="1" width="20" customWidth="1"/>
    <col min="2" max="2" width="34" customWidth="1"/>
    <col min="3" max="4" width="60" customWidth="1"/>
  </cols>
  <sheetData>
    <row r="1" spans="1:4" ht="25.5" customHeight="1" x14ac:dyDescent="0.35">
      <c r="A1" s="2" t="s">
        <v>748</v>
      </c>
      <c r="B1" s="2"/>
      <c r="C1" s="2"/>
      <c r="D1" s="2"/>
    </row>
    <row r="2" spans="1:4" ht="15.75" customHeight="1" x14ac:dyDescent="0.35">
      <c r="A2" s="1" t="s">
        <v>749</v>
      </c>
      <c r="B2" s="1"/>
      <c r="C2" s="1"/>
      <c r="D2" s="1"/>
    </row>
    <row r="4" spans="1:4" x14ac:dyDescent="0.35">
      <c r="A4" s="5" t="s">
        <v>165</v>
      </c>
      <c r="B4" s="5" t="s">
        <v>750</v>
      </c>
      <c r="C4" s="5" t="s">
        <v>751</v>
      </c>
      <c r="D4" s="5" t="s">
        <v>752</v>
      </c>
    </row>
    <row r="5" spans="1:4" ht="90" customHeight="1" x14ac:dyDescent="0.35">
      <c r="A5" s="3" t="s">
        <v>122</v>
      </c>
      <c r="B5" s="9" t="s">
        <v>753</v>
      </c>
      <c r="C5" s="9" t="s">
        <v>754</v>
      </c>
      <c r="D5" s="9" t="s">
        <v>755</v>
      </c>
    </row>
    <row r="6" spans="1:4" ht="90" customHeight="1" x14ac:dyDescent="0.35">
      <c r="A6" s="3" t="s">
        <v>123</v>
      </c>
      <c r="B6" s="9" t="s">
        <v>756</v>
      </c>
      <c r="C6" s="9" t="s">
        <v>757</v>
      </c>
      <c r="D6" s="9" t="s">
        <v>758</v>
      </c>
    </row>
    <row r="7" spans="1:4" ht="90" customHeight="1" x14ac:dyDescent="0.35">
      <c r="A7" s="3" t="s">
        <v>124</v>
      </c>
      <c r="B7" s="9" t="s">
        <v>759</v>
      </c>
      <c r="C7" s="9" t="s">
        <v>760</v>
      </c>
      <c r="D7" s="9" t="s">
        <v>761</v>
      </c>
    </row>
    <row r="8" spans="1:4" ht="90" customHeight="1" x14ac:dyDescent="0.35">
      <c r="A8" s="3" t="s">
        <v>126</v>
      </c>
      <c r="B8" s="9" t="s">
        <v>762</v>
      </c>
      <c r="C8" s="9" t="s">
        <v>763</v>
      </c>
      <c r="D8" s="9" t="s">
        <v>764</v>
      </c>
    </row>
    <row r="9" spans="1:4" ht="90" customHeight="1" x14ac:dyDescent="0.35">
      <c r="A9" s="3" t="s">
        <v>128</v>
      </c>
      <c r="B9" s="9" t="s">
        <v>765</v>
      </c>
      <c r="C9" s="9" t="s">
        <v>766</v>
      </c>
      <c r="D9" s="9" t="s">
        <v>767</v>
      </c>
    </row>
    <row r="10" spans="1:4" ht="90" customHeight="1" x14ac:dyDescent="0.35">
      <c r="A10" s="3" t="s">
        <v>130</v>
      </c>
      <c r="B10" s="9" t="s">
        <v>768</v>
      </c>
      <c r="C10" s="9" t="s">
        <v>769</v>
      </c>
      <c r="D10" s="9" t="s">
        <v>770</v>
      </c>
    </row>
    <row r="11" spans="1:4" ht="90" customHeight="1" x14ac:dyDescent="0.35">
      <c r="A11" s="3" t="s">
        <v>131</v>
      </c>
      <c r="B11" s="9" t="s">
        <v>771</v>
      </c>
      <c r="C11" s="9" t="s">
        <v>772</v>
      </c>
      <c r="D11" s="9" t="s">
        <v>773</v>
      </c>
    </row>
    <row r="12" spans="1:4" ht="90" customHeight="1" x14ac:dyDescent="0.35">
      <c r="A12" s="3" t="s">
        <v>132</v>
      </c>
      <c r="B12" s="9" t="s">
        <v>774</v>
      </c>
      <c r="C12" s="9" t="s">
        <v>775</v>
      </c>
      <c r="D12" s="9" t="s">
        <v>776</v>
      </c>
    </row>
    <row r="13" spans="1:4" ht="90" customHeight="1" x14ac:dyDescent="0.35">
      <c r="A13" s="3" t="s">
        <v>133</v>
      </c>
      <c r="B13" s="9" t="s">
        <v>777</v>
      </c>
      <c r="C13" s="9" t="s">
        <v>778</v>
      </c>
      <c r="D13" s="9" t="s">
        <v>779</v>
      </c>
    </row>
    <row r="14" spans="1:4" ht="90" customHeight="1" x14ac:dyDescent="0.35">
      <c r="A14" s="3" t="s">
        <v>135</v>
      </c>
      <c r="B14" s="9" t="s">
        <v>780</v>
      </c>
      <c r="C14" s="9" t="s">
        <v>781</v>
      </c>
      <c r="D14" s="9" t="s">
        <v>782</v>
      </c>
    </row>
    <row r="15" spans="1:4" ht="90" customHeight="1" x14ac:dyDescent="0.35">
      <c r="A15" s="3" t="s">
        <v>137</v>
      </c>
      <c r="B15" s="9" t="s">
        <v>783</v>
      </c>
      <c r="C15" s="9" t="s">
        <v>784</v>
      </c>
      <c r="D15" s="9" t="s">
        <v>785</v>
      </c>
    </row>
    <row r="16" spans="1:4" ht="90" customHeight="1" x14ac:dyDescent="0.35">
      <c r="A16" s="3" t="s">
        <v>139</v>
      </c>
      <c r="B16" s="9" t="s">
        <v>786</v>
      </c>
      <c r="C16" s="9" t="s">
        <v>787</v>
      </c>
      <c r="D16" s="9" t="s">
        <v>788</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8"/>
  <sheetViews>
    <sheetView zoomScaleNormal="100" workbookViewId="0">
      <pane ySplit="3" topLeftCell="A4" activePane="bottomLeft" state="frozen"/>
      <selection pane="bottomLeft"/>
    </sheetView>
  </sheetViews>
  <sheetFormatPr defaultColWidth="8.6328125" defaultRowHeight="14.5" x14ac:dyDescent="0.35"/>
  <cols>
    <col min="1" max="1" width="70" customWidth="1"/>
    <col min="2" max="2" width="22" customWidth="1"/>
  </cols>
  <sheetData>
    <row r="1" spans="1:3" ht="25.5" customHeight="1" x14ac:dyDescent="0.35">
      <c r="A1" s="2" t="s">
        <v>789</v>
      </c>
      <c r="B1" s="2"/>
      <c r="C1" s="2"/>
    </row>
    <row r="2" spans="1:3" ht="15.75" customHeight="1" x14ac:dyDescent="0.35">
      <c r="A2" s="1" t="s">
        <v>790</v>
      </c>
      <c r="B2" s="1"/>
      <c r="C2" s="1"/>
    </row>
    <row r="4" spans="1:3" ht="39" x14ac:dyDescent="0.35">
      <c r="A4" s="3" t="s">
        <v>791</v>
      </c>
      <c r="B4" s="3" t="s">
        <v>792</v>
      </c>
    </row>
    <row r="6" spans="1:3" x14ac:dyDescent="0.35">
      <c r="A6" s="7" t="s">
        <v>793</v>
      </c>
    </row>
    <row r="7" spans="1:3" x14ac:dyDescent="0.35">
      <c r="A7" s="3" t="s">
        <v>794</v>
      </c>
      <c r="B7" s="11" t="s">
        <v>286</v>
      </c>
    </row>
    <row r="8" spans="1:3" x14ac:dyDescent="0.35">
      <c r="A8" s="3" t="s">
        <v>795</v>
      </c>
      <c r="B8" s="12">
        <v>121420</v>
      </c>
    </row>
    <row r="9" spans="1:3" x14ac:dyDescent="0.35">
      <c r="A9" s="3" t="s">
        <v>796</v>
      </c>
      <c r="B9" s="12">
        <v>8000</v>
      </c>
    </row>
    <row r="10" spans="1:3" x14ac:dyDescent="0.35">
      <c r="A10" s="3" t="s">
        <v>797</v>
      </c>
      <c r="B10" s="12">
        <v>4500</v>
      </c>
    </row>
    <row r="11" spans="1:3" x14ac:dyDescent="0.35">
      <c r="A11" s="3" t="s">
        <v>798</v>
      </c>
      <c r="B11" s="12">
        <v>3000</v>
      </c>
    </row>
    <row r="12" spans="1:3" x14ac:dyDescent="0.35">
      <c r="A12" s="3" t="s">
        <v>799</v>
      </c>
      <c r="B12" s="13">
        <f>B8+B9+B10+B11</f>
        <v>136920</v>
      </c>
    </row>
    <row r="14" spans="1:3" x14ac:dyDescent="0.35">
      <c r="A14" s="7" t="s">
        <v>800</v>
      </c>
    </row>
    <row r="15" spans="1:3" x14ac:dyDescent="0.35">
      <c r="A15" s="3" t="s">
        <v>801</v>
      </c>
      <c r="B15" s="11">
        <v>8000</v>
      </c>
    </row>
    <row r="16" spans="1:3" ht="26" x14ac:dyDescent="0.35">
      <c r="A16" s="3" t="s">
        <v>802</v>
      </c>
      <c r="B16" s="11">
        <v>55</v>
      </c>
    </row>
    <row r="17" spans="1:2" x14ac:dyDescent="0.35">
      <c r="A17" s="3" t="s">
        <v>803</v>
      </c>
      <c r="B17" s="14">
        <v>100</v>
      </c>
    </row>
    <row r="18" spans="1:2" x14ac:dyDescent="0.35">
      <c r="A18" s="3" t="s">
        <v>804</v>
      </c>
      <c r="B18" s="13">
        <f>(B15/B16)*B17</f>
        <v>14545.454545454546</v>
      </c>
    </row>
    <row r="19" spans="1:2" ht="26" x14ac:dyDescent="0.35">
      <c r="A19" s="3" t="s">
        <v>805</v>
      </c>
      <c r="B19" s="12">
        <v>2500</v>
      </c>
    </row>
    <row r="20" spans="1:2" x14ac:dyDescent="0.35">
      <c r="A20" s="3" t="s">
        <v>806</v>
      </c>
      <c r="B20" s="12">
        <v>3500</v>
      </c>
    </row>
    <row r="21" spans="1:2" x14ac:dyDescent="0.35">
      <c r="A21" s="3" t="s">
        <v>807</v>
      </c>
      <c r="B21" s="13">
        <f>B18+B19+B20</f>
        <v>20545.454545454544</v>
      </c>
    </row>
    <row r="23" spans="1:2" x14ac:dyDescent="0.35">
      <c r="A23" s="7" t="s">
        <v>808</v>
      </c>
    </row>
    <row r="24" spans="1:2" ht="26" x14ac:dyDescent="0.35">
      <c r="A24" s="3" t="s">
        <v>809</v>
      </c>
      <c r="B24" s="12">
        <v>60000</v>
      </c>
    </row>
    <row r="25" spans="1:2" x14ac:dyDescent="0.35">
      <c r="A25" s="3" t="s">
        <v>810</v>
      </c>
      <c r="B25" s="12">
        <v>35000</v>
      </c>
    </row>
    <row r="26" spans="1:2" x14ac:dyDescent="0.35">
      <c r="A26" s="3" t="s">
        <v>811</v>
      </c>
      <c r="B26" s="13">
        <f>B12+3*B21-B24</f>
        <v>138556.36363636365</v>
      </c>
    </row>
    <row r="28" spans="1:2" x14ac:dyDescent="0.35">
      <c r="A28" s="3" t="s">
        <v>812</v>
      </c>
      <c r="B28" s="13">
        <f>B12+5*B21-B25</f>
        <v>204647.27272727271</v>
      </c>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24"/>
  <sheetViews>
    <sheetView zoomScaleNormal="100" workbookViewId="0">
      <pane ySplit="3" topLeftCell="A4" activePane="bottomLeft" state="frozen"/>
      <selection pane="bottomLeft"/>
    </sheetView>
  </sheetViews>
  <sheetFormatPr defaultColWidth="8.6328125" defaultRowHeight="14.5" x14ac:dyDescent="0.35"/>
  <cols>
    <col min="1" max="1" width="45" customWidth="1"/>
    <col min="2" max="2" width="30" customWidth="1"/>
  </cols>
  <sheetData>
    <row r="1" spans="1:2" ht="25.5" customHeight="1" x14ac:dyDescent="0.35">
      <c r="A1" s="2" t="s">
        <v>813</v>
      </c>
      <c r="B1" s="2"/>
    </row>
    <row r="2" spans="1:2" ht="15.75" customHeight="1" x14ac:dyDescent="0.35">
      <c r="A2" s="1" t="s">
        <v>814</v>
      </c>
      <c r="B2" s="1"/>
    </row>
    <row r="4" spans="1:2" x14ac:dyDescent="0.35">
      <c r="A4" s="3" t="s">
        <v>815</v>
      </c>
      <c r="B4" s="15"/>
    </row>
    <row r="5" spans="1:2" x14ac:dyDescent="0.35">
      <c r="A5" s="3" t="s">
        <v>816</v>
      </c>
      <c r="B5" s="15"/>
    </row>
    <row r="6" spans="1:2" x14ac:dyDescent="0.35">
      <c r="A6" s="3" t="s">
        <v>817</v>
      </c>
      <c r="B6" s="15"/>
    </row>
    <row r="7" spans="1:2" x14ac:dyDescent="0.35">
      <c r="A7" s="3" t="s">
        <v>818</v>
      </c>
      <c r="B7" s="15"/>
    </row>
    <row r="8" spans="1:2" x14ac:dyDescent="0.35">
      <c r="A8" s="3" t="s">
        <v>819</v>
      </c>
      <c r="B8" s="15"/>
    </row>
    <row r="9" spans="1:2" x14ac:dyDescent="0.35">
      <c r="A9" s="3" t="s">
        <v>820</v>
      </c>
      <c r="B9" s="15"/>
    </row>
    <row r="10" spans="1:2" ht="26" x14ac:dyDescent="0.35">
      <c r="A10" s="3" t="s">
        <v>821</v>
      </c>
      <c r="B10" s="15"/>
    </row>
    <row r="11" spans="1:2" x14ac:dyDescent="0.35">
      <c r="A11" s="3" t="s">
        <v>822</v>
      </c>
      <c r="B11" s="15"/>
    </row>
    <row r="12" spans="1:2" x14ac:dyDescent="0.35">
      <c r="A12" s="3" t="s">
        <v>823</v>
      </c>
      <c r="B12" s="15"/>
    </row>
    <row r="13" spans="1:2" x14ac:dyDescent="0.35">
      <c r="A13" s="3" t="s">
        <v>824</v>
      </c>
      <c r="B13" s="15"/>
    </row>
    <row r="14" spans="1:2" x14ac:dyDescent="0.35">
      <c r="A14" s="3" t="s">
        <v>825</v>
      </c>
      <c r="B14" s="15"/>
    </row>
    <row r="15" spans="1:2" x14ac:dyDescent="0.35">
      <c r="A15" s="3" t="s">
        <v>826</v>
      </c>
      <c r="B15" s="15"/>
    </row>
    <row r="16" spans="1:2" x14ac:dyDescent="0.35">
      <c r="A16" s="3" t="s">
        <v>827</v>
      </c>
      <c r="B16" s="15"/>
    </row>
    <row r="17" spans="1:2" x14ac:dyDescent="0.35">
      <c r="A17" s="3" t="s">
        <v>828</v>
      </c>
      <c r="B17" s="15"/>
    </row>
    <row r="18" spans="1:2" x14ac:dyDescent="0.35">
      <c r="A18" s="3" t="s">
        <v>829</v>
      </c>
      <c r="B18" s="15"/>
    </row>
    <row r="19" spans="1:2" x14ac:dyDescent="0.35">
      <c r="A19" s="3" t="s">
        <v>830</v>
      </c>
      <c r="B19" s="15"/>
    </row>
    <row r="20" spans="1:2" x14ac:dyDescent="0.35">
      <c r="A20" s="3" t="s">
        <v>831</v>
      </c>
      <c r="B20" s="15"/>
    </row>
    <row r="21" spans="1:2" x14ac:dyDescent="0.35">
      <c r="A21" s="3" t="s">
        <v>832</v>
      </c>
      <c r="B21" s="15"/>
    </row>
    <row r="22" spans="1:2" x14ac:dyDescent="0.35">
      <c r="A22" s="3" t="s">
        <v>833</v>
      </c>
      <c r="B22" s="15"/>
    </row>
    <row r="23" spans="1:2" x14ac:dyDescent="0.35">
      <c r="A23" s="3" t="s">
        <v>834</v>
      </c>
      <c r="B23" s="15"/>
    </row>
    <row r="24" spans="1:2" x14ac:dyDescent="0.35">
      <c r="A24" s="3" t="s">
        <v>835</v>
      </c>
      <c r="B24" s="15"/>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9"/>
  <sheetViews>
    <sheetView zoomScaleNormal="100" workbookViewId="0">
      <pane ySplit="3" topLeftCell="A4" activePane="bottomLeft" state="frozen"/>
      <selection pane="bottomLeft"/>
    </sheetView>
  </sheetViews>
  <sheetFormatPr defaultColWidth="8.6328125" defaultRowHeight="14.5" x14ac:dyDescent="0.35"/>
  <cols>
    <col min="1" max="1" width="34" customWidth="1"/>
    <col min="2" max="2" width="120" customWidth="1"/>
  </cols>
  <sheetData>
    <row r="1" spans="1:2" ht="25.5" customHeight="1" x14ac:dyDescent="0.35">
      <c r="A1" s="2" t="s">
        <v>836</v>
      </c>
      <c r="B1" s="2"/>
    </row>
    <row r="2" spans="1:2" ht="15.75" customHeight="1" x14ac:dyDescent="0.35">
      <c r="A2" s="1" t="s">
        <v>837</v>
      </c>
      <c r="B2" s="1"/>
    </row>
    <row r="4" spans="1:2" x14ac:dyDescent="0.35">
      <c r="A4" s="5" t="s">
        <v>838</v>
      </c>
      <c r="B4" s="5" t="s">
        <v>839</v>
      </c>
    </row>
    <row r="5" spans="1:2" ht="90" customHeight="1" x14ac:dyDescent="0.35">
      <c r="A5" s="3" t="s">
        <v>840</v>
      </c>
      <c r="B5" s="9" t="s">
        <v>841</v>
      </c>
    </row>
    <row r="6" spans="1:2" ht="90" customHeight="1" x14ac:dyDescent="0.35">
      <c r="A6" s="3" t="s">
        <v>842</v>
      </c>
      <c r="B6" s="9" t="s">
        <v>843</v>
      </c>
    </row>
    <row r="7" spans="1:2" ht="90" customHeight="1" x14ac:dyDescent="0.35">
      <c r="A7" s="3" t="s">
        <v>844</v>
      </c>
      <c r="B7" s="9" t="s">
        <v>845</v>
      </c>
    </row>
    <row r="8" spans="1:2" ht="90" customHeight="1" x14ac:dyDescent="0.35">
      <c r="A8" s="3" t="s">
        <v>846</v>
      </c>
      <c r="B8" s="9" t="s">
        <v>847</v>
      </c>
    </row>
    <row r="9" spans="1:2" ht="90" customHeight="1" x14ac:dyDescent="0.35">
      <c r="A9" s="3" t="s">
        <v>848</v>
      </c>
      <c r="B9" s="9" t="s">
        <v>849</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3"/>
  <sheetViews>
    <sheetView zoomScaleNormal="100" workbookViewId="0">
      <pane ySplit="3" topLeftCell="A4" activePane="bottomLeft" state="frozen"/>
      <selection pane="bottomLeft"/>
    </sheetView>
  </sheetViews>
  <sheetFormatPr defaultColWidth="8.6328125" defaultRowHeight="14.5" x14ac:dyDescent="0.35"/>
  <cols>
    <col min="1" max="1" width="40" customWidth="1"/>
    <col min="2" max="2" width="105" customWidth="1"/>
  </cols>
  <sheetData>
    <row r="1" spans="1:2" ht="25.5" customHeight="1" x14ac:dyDescent="0.35">
      <c r="A1" s="2" t="s">
        <v>850</v>
      </c>
      <c r="B1" s="2"/>
    </row>
    <row r="2" spans="1:2" ht="15.75" customHeight="1" x14ac:dyDescent="0.35">
      <c r="A2" s="1" t="s">
        <v>851</v>
      </c>
      <c r="B2" s="1"/>
    </row>
    <row r="4" spans="1:2" x14ac:dyDescent="0.35">
      <c r="A4" s="5" t="s">
        <v>852</v>
      </c>
      <c r="B4" s="5" t="s">
        <v>853</v>
      </c>
    </row>
    <row r="5" spans="1:2" ht="75" customHeight="1" x14ac:dyDescent="0.35">
      <c r="A5" s="3" t="s">
        <v>854</v>
      </c>
      <c r="B5" s="4" t="s">
        <v>855</v>
      </c>
    </row>
    <row r="6" spans="1:2" ht="75" customHeight="1" x14ac:dyDescent="0.35">
      <c r="A6" s="3" t="s">
        <v>856</v>
      </c>
      <c r="B6" s="4" t="s">
        <v>857</v>
      </c>
    </row>
    <row r="7" spans="1:2" ht="75" customHeight="1" x14ac:dyDescent="0.35">
      <c r="A7" s="3" t="s">
        <v>858</v>
      </c>
      <c r="B7" s="4" t="s">
        <v>859</v>
      </c>
    </row>
    <row r="8" spans="1:2" ht="75" customHeight="1" x14ac:dyDescent="0.35">
      <c r="A8" s="3" t="s">
        <v>860</v>
      </c>
      <c r="B8" s="4" t="s">
        <v>861</v>
      </c>
    </row>
    <row r="9" spans="1:2" ht="75" customHeight="1" x14ac:dyDescent="0.35">
      <c r="A9" s="3" t="s">
        <v>862</v>
      </c>
      <c r="B9" s="4" t="s">
        <v>863</v>
      </c>
    </row>
    <row r="10" spans="1:2" ht="75" customHeight="1" x14ac:dyDescent="0.35">
      <c r="A10" s="3" t="s">
        <v>864</v>
      </c>
      <c r="B10" s="4" t="s">
        <v>865</v>
      </c>
    </row>
    <row r="11" spans="1:2" ht="75" customHeight="1" x14ac:dyDescent="0.35">
      <c r="A11" s="3" t="s">
        <v>866</v>
      </c>
      <c r="B11" s="4" t="s">
        <v>867</v>
      </c>
    </row>
    <row r="12" spans="1:2" ht="75" customHeight="1" x14ac:dyDescent="0.35">
      <c r="A12" s="3" t="s">
        <v>868</v>
      </c>
      <c r="B12" s="4" t="s">
        <v>869</v>
      </c>
    </row>
    <row r="13" spans="1:2" ht="75" customHeight="1" x14ac:dyDescent="0.35">
      <c r="A13" s="3" t="s">
        <v>870</v>
      </c>
      <c r="B13" s="4" t="s">
        <v>871</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45"/>
  <sheetViews>
    <sheetView tabSelected="1" zoomScaleNormal="100" workbookViewId="0">
      <pane ySplit="3" topLeftCell="A4" activePane="bottomLeft" state="frozen"/>
      <selection pane="bottomLeft"/>
    </sheetView>
  </sheetViews>
  <sheetFormatPr defaultColWidth="8.6328125" defaultRowHeight="14.5" x14ac:dyDescent="0.35"/>
  <cols>
    <col min="1" max="1" width="70" customWidth="1"/>
    <col min="2" max="3" width="46" customWidth="1"/>
    <col min="4" max="4" width="14" customWidth="1"/>
    <col min="5" max="5" width="46" customWidth="1"/>
  </cols>
  <sheetData>
    <row r="1" spans="1:5" ht="25.5" customHeight="1" x14ac:dyDescent="0.35">
      <c r="A1" s="2" t="s">
        <v>58</v>
      </c>
      <c r="B1" s="2"/>
      <c r="C1" s="2"/>
      <c r="D1" s="2"/>
      <c r="E1" s="2"/>
    </row>
    <row r="2" spans="1:5" ht="15.75" customHeight="1" x14ac:dyDescent="0.35">
      <c r="A2" s="1" t="s">
        <v>872</v>
      </c>
      <c r="B2" s="1"/>
      <c r="C2" s="1"/>
      <c r="D2" s="1"/>
      <c r="E2" s="1"/>
    </row>
    <row r="4" spans="1:5" x14ac:dyDescent="0.35">
      <c r="A4" s="5" t="s">
        <v>873</v>
      </c>
      <c r="B4" s="5" t="s">
        <v>874</v>
      </c>
      <c r="C4" s="5" t="s">
        <v>875</v>
      </c>
      <c r="D4" s="5" t="s">
        <v>876</v>
      </c>
      <c r="E4" s="5" t="s">
        <v>877</v>
      </c>
    </row>
    <row r="5" spans="1:5" x14ac:dyDescent="0.35">
      <c r="A5" s="6" t="s">
        <v>99</v>
      </c>
      <c r="B5" s="4" t="s">
        <v>878</v>
      </c>
      <c r="C5" s="4" t="s">
        <v>879</v>
      </c>
      <c r="D5" s="4" t="s">
        <v>880</v>
      </c>
      <c r="E5" s="4" t="s">
        <v>881</v>
      </c>
    </row>
    <row r="6" spans="1:5" x14ac:dyDescent="0.35">
      <c r="A6" s="6" t="s">
        <v>882</v>
      </c>
      <c r="B6" s="4" t="s">
        <v>878</v>
      </c>
      <c r="C6" s="4" t="s">
        <v>879</v>
      </c>
      <c r="D6" s="4" t="s">
        <v>880</v>
      </c>
      <c r="E6" s="4" t="s">
        <v>881</v>
      </c>
    </row>
    <row r="7" spans="1:5" x14ac:dyDescent="0.35">
      <c r="A7" s="6" t="s">
        <v>91</v>
      </c>
      <c r="B7" s="4" t="s">
        <v>883</v>
      </c>
      <c r="C7" s="4" t="s">
        <v>879</v>
      </c>
      <c r="D7" s="4" t="s">
        <v>880</v>
      </c>
      <c r="E7" s="4" t="s">
        <v>881</v>
      </c>
    </row>
    <row r="8" spans="1:5" x14ac:dyDescent="0.35">
      <c r="A8" s="6" t="s">
        <v>884</v>
      </c>
      <c r="B8" s="4" t="s">
        <v>885</v>
      </c>
      <c r="C8" s="4" t="s">
        <v>879</v>
      </c>
      <c r="D8" s="4" t="s">
        <v>880</v>
      </c>
      <c r="E8" s="4" t="s">
        <v>881</v>
      </c>
    </row>
    <row r="9" spans="1:5" ht="25" x14ac:dyDescent="0.35">
      <c r="A9" s="6" t="s">
        <v>224</v>
      </c>
      <c r="B9" s="4" t="s">
        <v>883</v>
      </c>
      <c r="C9" s="4" t="s">
        <v>879</v>
      </c>
      <c r="D9" s="4" t="s">
        <v>880</v>
      </c>
      <c r="E9" s="4" t="s">
        <v>881</v>
      </c>
    </row>
    <row r="10" spans="1:5" ht="25" x14ac:dyDescent="0.35">
      <c r="A10" s="6" t="s">
        <v>188</v>
      </c>
      <c r="B10" s="4" t="s">
        <v>886</v>
      </c>
      <c r="C10" s="4" t="s">
        <v>879</v>
      </c>
      <c r="D10" s="4" t="s">
        <v>880</v>
      </c>
      <c r="E10" s="4" t="s">
        <v>881</v>
      </c>
    </row>
    <row r="11" spans="1:5" x14ac:dyDescent="0.35">
      <c r="A11" s="6" t="s">
        <v>116</v>
      </c>
      <c r="B11" s="4" t="s">
        <v>887</v>
      </c>
      <c r="C11" s="4" t="s">
        <v>879</v>
      </c>
      <c r="D11" s="4" t="s">
        <v>880</v>
      </c>
      <c r="E11" s="4" t="s">
        <v>881</v>
      </c>
    </row>
    <row r="12" spans="1:5" x14ac:dyDescent="0.35">
      <c r="A12" s="6" t="s">
        <v>95</v>
      </c>
      <c r="B12" s="4" t="s">
        <v>94</v>
      </c>
      <c r="C12" s="4" t="s">
        <v>879</v>
      </c>
      <c r="D12" s="4" t="s">
        <v>880</v>
      </c>
      <c r="E12" s="4" t="s">
        <v>881</v>
      </c>
    </row>
    <row r="13" spans="1:5" x14ac:dyDescent="0.35">
      <c r="A13" s="6" t="s">
        <v>888</v>
      </c>
      <c r="B13" s="4" t="s">
        <v>883</v>
      </c>
      <c r="C13" s="4" t="s">
        <v>879</v>
      </c>
      <c r="D13" s="4" t="s">
        <v>880</v>
      </c>
      <c r="E13" s="4" t="s">
        <v>881</v>
      </c>
    </row>
    <row r="14" spans="1:5" ht="25" x14ac:dyDescent="0.35">
      <c r="A14" s="6" t="s">
        <v>889</v>
      </c>
      <c r="B14" s="4" t="s">
        <v>890</v>
      </c>
      <c r="C14" s="4" t="s">
        <v>879</v>
      </c>
      <c r="D14" s="4" t="s">
        <v>880</v>
      </c>
      <c r="E14" s="4" t="s">
        <v>881</v>
      </c>
    </row>
    <row r="15" spans="1:5" x14ac:dyDescent="0.35">
      <c r="A15" s="6" t="s">
        <v>93</v>
      </c>
      <c r="B15" s="4" t="s">
        <v>883</v>
      </c>
      <c r="C15" s="4" t="s">
        <v>879</v>
      </c>
      <c r="D15" s="4" t="s">
        <v>880</v>
      </c>
      <c r="E15" s="4" t="s">
        <v>881</v>
      </c>
    </row>
    <row r="16" spans="1:5" x14ac:dyDescent="0.35">
      <c r="A16" s="6" t="s">
        <v>223</v>
      </c>
      <c r="B16" s="4" t="s">
        <v>883</v>
      </c>
      <c r="C16" s="4" t="s">
        <v>879</v>
      </c>
      <c r="D16" s="4" t="s">
        <v>880</v>
      </c>
      <c r="E16" s="4" t="s">
        <v>881</v>
      </c>
    </row>
    <row r="17" spans="1:5" ht="25" x14ac:dyDescent="0.35">
      <c r="A17" s="6" t="s">
        <v>203</v>
      </c>
      <c r="B17" s="4" t="s">
        <v>886</v>
      </c>
      <c r="C17" s="4" t="s">
        <v>879</v>
      </c>
      <c r="D17" s="4" t="s">
        <v>880</v>
      </c>
      <c r="E17" s="4" t="s">
        <v>881</v>
      </c>
    </row>
    <row r="18" spans="1:5" ht="25" x14ac:dyDescent="0.35">
      <c r="A18" s="6" t="s">
        <v>211</v>
      </c>
      <c r="B18" s="4" t="s">
        <v>886</v>
      </c>
      <c r="C18" s="4" t="s">
        <v>879</v>
      </c>
      <c r="D18" s="4" t="s">
        <v>880</v>
      </c>
      <c r="E18" s="4" t="s">
        <v>881</v>
      </c>
    </row>
    <row r="19" spans="1:5" ht="25" x14ac:dyDescent="0.35">
      <c r="A19" s="6" t="s">
        <v>198</v>
      </c>
      <c r="B19" s="4" t="s">
        <v>886</v>
      </c>
      <c r="C19" s="4" t="s">
        <v>879</v>
      </c>
      <c r="D19" s="4" t="s">
        <v>880</v>
      </c>
      <c r="E19" s="4" t="s">
        <v>881</v>
      </c>
    </row>
    <row r="20" spans="1:5" x14ac:dyDescent="0.35">
      <c r="A20" s="6" t="s">
        <v>197</v>
      </c>
      <c r="B20" s="4" t="s">
        <v>883</v>
      </c>
      <c r="C20" s="4" t="s">
        <v>879</v>
      </c>
      <c r="D20" s="4" t="s">
        <v>880</v>
      </c>
      <c r="E20" s="4" t="s">
        <v>881</v>
      </c>
    </row>
    <row r="21" spans="1:5" x14ac:dyDescent="0.35">
      <c r="A21" s="6" t="s">
        <v>202</v>
      </c>
      <c r="B21" s="4" t="s">
        <v>883</v>
      </c>
      <c r="C21" s="4" t="s">
        <v>879</v>
      </c>
      <c r="D21" s="4" t="s">
        <v>880</v>
      </c>
      <c r="E21" s="4" t="s">
        <v>881</v>
      </c>
    </row>
    <row r="22" spans="1:5" x14ac:dyDescent="0.35">
      <c r="A22" s="6" t="s">
        <v>206</v>
      </c>
      <c r="B22" s="4" t="s">
        <v>883</v>
      </c>
      <c r="C22" s="4" t="s">
        <v>879</v>
      </c>
      <c r="D22" s="4" t="s">
        <v>880</v>
      </c>
      <c r="E22" s="4" t="s">
        <v>881</v>
      </c>
    </row>
    <row r="23" spans="1:5" x14ac:dyDescent="0.35">
      <c r="A23" s="6" t="s">
        <v>210</v>
      </c>
      <c r="B23" s="4" t="s">
        <v>883</v>
      </c>
      <c r="C23" s="4" t="s">
        <v>879</v>
      </c>
      <c r="D23" s="4" t="s">
        <v>880</v>
      </c>
      <c r="E23" s="4" t="s">
        <v>881</v>
      </c>
    </row>
    <row r="24" spans="1:5" x14ac:dyDescent="0.35">
      <c r="A24" s="6" t="s">
        <v>215</v>
      </c>
      <c r="B24" s="4" t="s">
        <v>883</v>
      </c>
      <c r="C24" s="4" t="s">
        <v>879</v>
      </c>
      <c r="D24" s="4" t="s">
        <v>880</v>
      </c>
      <c r="E24" s="4" t="s">
        <v>881</v>
      </c>
    </row>
    <row r="25" spans="1:5" x14ac:dyDescent="0.35">
      <c r="A25" s="6" t="s">
        <v>219</v>
      </c>
      <c r="B25" s="4" t="s">
        <v>883</v>
      </c>
      <c r="C25" s="4" t="s">
        <v>879</v>
      </c>
      <c r="D25" s="4" t="s">
        <v>880</v>
      </c>
      <c r="E25" s="4" t="s">
        <v>881</v>
      </c>
    </row>
    <row r="26" spans="1:5" x14ac:dyDescent="0.35">
      <c r="A26" s="6" t="s">
        <v>97</v>
      </c>
      <c r="B26" s="4" t="s">
        <v>883</v>
      </c>
      <c r="C26" s="4" t="s">
        <v>879</v>
      </c>
      <c r="D26" s="4" t="s">
        <v>880</v>
      </c>
      <c r="E26" s="4" t="s">
        <v>881</v>
      </c>
    </row>
    <row r="27" spans="1:5" x14ac:dyDescent="0.35">
      <c r="A27" s="6" t="s">
        <v>174</v>
      </c>
      <c r="B27" s="4" t="s">
        <v>883</v>
      </c>
      <c r="C27" s="4" t="s">
        <v>879</v>
      </c>
      <c r="D27" s="4" t="s">
        <v>880</v>
      </c>
      <c r="E27" s="4" t="s">
        <v>881</v>
      </c>
    </row>
    <row r="28" spans="1:5" ht="25" x14ac:dyDescent="0.35">
      <c r="A28" s="6" t="s">
        <v>175</v>
      </c>
      <c r="B28" s="4" t="s">
        <v>886</v>
      </c>
      <c r="C28" s="4" t="s">
        <v>879</v>
      </c>
      <c r="D28" s="4" t="s">
        <v>880</v>
      </c>
      <c r="E28" s="4" t="s">
        <v>881</v>
      </c>
    </row>
    <row r="29" spans="1:5" x14ac:dyDescent="0.35">
      <c r="A29" s="6" t="s">
        <v>187</v>
      </c>
      <c r="B29" s="4" t="s">
        <v>883</v>
      </c>
      <c r="C29" s="4" t="s">
        <v>879</v>
      </c>
      <c r="D29" s="4" t="s">
        <v>880</v>
      </c>
      <c r="E29" s="4" t="s">
        <v>881</v>
      </c>
    </row>
    <row r="30" spans="1:5" x14ac:dyDescent="0.35">
      <c r="A30" s="6" t="s">
        <v>192</v>
      </c>
      <c r="B30" s="4" t="s">
        <v>883</v>
      </c>
      <c r="C30" s="4" t="s">
        <v>879</v>
      </c>
      <c r="D30" s="4" t="s">
        <v>880</v>
      </c>
      <c r="E30" s="4" t="s">
        <v>881</v>
      </c>
    </row>
    <row r="31" spans="1:5" ht="25" x14ac:dyDescent="0.35">
      <c r="A31" s="6" t="s">
        <v>193</v>
      </c>
      <c r="B31" s="4" t="s">
        <v>886</v>
      </c>
      <c r="C31" s="4" t="s">
        <v>879</v>
      </c>
      <c r="D31" s="4" t="s">
        <v>880</v>
      </c>
      <c r="E31" s="4" t="s">
        <v>881</v>
      </c>
    </row>
    <row r="32" spans="1:5" ht="25" x14ac:dyDescent="0.35">
      <c r="A32" s="6" t="s">
        <v>182</v>
      </c>
      <c r="B32" s="4" t="s">
        <v>883</v>
      </c>
      <c r="C32" s="4" t="s">
        <v>879</v>
      </c>
      <c r="D32" s="4" t="s">
        <v>880</v>
      </c>
      <c r="E32" s="4" t="s">
        <v>881</v>
      </c>
    </row>
    <row r="33" spans="1:5" x14ac:dyDescent="0.35">
      <c r="A33" s="6" t="s">
        <v>178</v>
      </c>
      <c r="B33" s="4" t="s">
        <v>883</v>
      </c>
      <c r="C33" s="4" t="s">
        <v>879</v>
      </c>
      <c r="D33" s="4" t="s">
        <v>880</v>
      </c>
      <c r="E33" s="4" t="s">
        <v>881</v>
      </c>
    </row>
    <row r="34" spans="1:5" ht="37.5" x14ac:dyDescent="0.35">
      <c r="A34" s="6" t="s">
        <v>179</v>
      </c>
      <c r="B34" s="4" t="s">
        <v>886</v>
      </c>
      <c r="C34" s="4" t="s">
        <v>879</v>
      </c>
      <c r="D34" s="4" t="s">
        <v>880</v>
      </c>
      <c r="E34" s="4" t="s">
        <v>881</v>
      </c>
    </row>
    <row r="36" spans="1:5" x14ac:dyDescent="0.35">
      <c r="A36" s="7" t="s">
        <v>891</v>
      </c>
      <c r="B36" s="8"/>
      <c r="C36" s="8"/>
      <c r="D36" s="8"/>
      <c r="E36" s="8"/>
    </row>
    <row r="37" spans="1:5" ht="30" customHeight="1" x14ac:dyDescent="0.35">
      <c r="A37" s="6" t="s">
        <v>892</v>
      </c>
      <c r="B37" s="4" t="s">
        <v>893</v>
      </c>
      <c r="C37" s="4" t="s">
        <v>894</v>
      </c>
      <c r="D37" s="4" t="s">
        <v>880</v>
      </c>
      <c r="E37" s="4" t="s">
        <v>895</v>
      </c>
    </row>
    <row r="38" spans="1:5" ht="30" customHeight="1" x14ac:dyDescent="0.35">
      <c r="A38" s="6" t="s">
        <v>896</v>
      </c>
      <c r="B38" s="4" t="s">
        <v>893</v>
      </c>
      <c r="C38" s="4" t="s">
        <v>894</v>
      </c>
      <c r="D38" s="4" t="s">
        <v>880</v>
      </c>
      <c r="E38" s="4" t="s">
        <v>895</v>
      </c>
    </row>
    <row r="39" spans="1:5" ht="30" customHeight="1" x14ac:dyDescent="0.35">
      <c r="A39" s="6" t="s">
        <v>897</v>
      </c>
      <c r="B39" s="4" t="s">
        <v>893</v>
      </c>
      <c r="C39" s="4" t="s">
        <v>894</v>
      </c>
      <c r="D39" s="4" t="s">
        <v>880</v>
      </c>
      <c r="E39" s="4" t="s">
        <v>895</v>
      </c>
    </row>
    <row r="40" spans="1:5" ht="30" customHeight="1" x14ac:dyDescent="0.35">
      <c r="A40" s="6" t="s">
        <v>898</v>
      </c>
      <c r="B40" s="4" t="s">
        <v>893</v>
      </c>
      <c r="C40" s="4" t="s">
        <v>899</v>
      </c>
      <c r="D40" s="4" t="s">
        <v>880</v>
      </c>
      <c r="E40" s="4" t="s">
        <v>895</v>
      </c>
    </row>
    <row r="41" spans="1:5" ht="30" customHeight="1" x14ac:dyDescent="0.35">
      <c r="A41" s="6" t="s">
        <v>900</v>
      </c>
      <c r="B41" s="4" t="s">
        <v>893</v>
      </c>
      <c r="C41" s="4" t="s">
        <v>901</v>
      </c>
      <c r="D41" s="4" t="s">
        <v>880</v>
      </c>
      <c r="E41" s="4" t="s">
        <v>895</v>
      </c>
    </row>
    <row r="42" spans="1:5" ht="30" customHeight="1" x14ac:dyDescent="0.35">
      <c r="A42" s="6" t="s">
        <v>902</v>
      </c>
      <c r="B42" s="4" t="s">
        <v>893</v>
      </c>
      <c r="C42" s="4" t="s">
        <v>903</v>
      </c>
      <c r="D42" s="4" t="s">
        <v>880</v>
      </c>
      <c r="E42" s="4" t="s">
        <v>895</v>
      </c>
    </row>
    <row r="43" spans="1:5" ht="30" customHeight="1" x14ac:dyDescent="0.35">
      <c r="A43" s="6" t="s">
        <v>904</v>
      </c>
      <c r="B43" s="4" t="s">
        <v>893</v>
      </c>
      <c r="C43" s="4" t="s">
        <v>905</v>
      </c>
      <c r="D43" s="4" t="s">
        <v>880</v>
      </c>
      <c r="E43" s="4" t="s">
        <v>895</v>
      </c>
    </row>
    <row r="44" spans="1:5" ht="30" customHeight="1" x14ac:dyDescent="0.35">
      <c r="A44" s="6" t="s">
        <v>906</v>
      </c>
      <c r="B44" s="4" t="s">
        <v>893</v>
      </c>
      <c r="C44" s="4" t="s">
        <v>907</v>
      </c>
      <c r="D44" s="4" t="s">
        <v>880</v>
      </c>
      <c r="E44" s="4" t="s">
        <v>895</v>
      </c>
    </row>
    <row r="45" spans="1:5" ht="30" customHeight="1" x14ac:dyDescent="0.35">
      <c r="A45" s="6" t="s">
        <v>908</v>
      </c>
      <c r="B45" s="4" t="s">
        <v>893</v>
      </c>
      <c r="C45" s="4" t="s">
        <v>909</v>
      </c>
      <c r="D45" s="4" t="s">
        <v>880</v>
      </c>
      <c r="E45" s="4" t="s">
        <v>895</v>
      </c>
    </row>
  </sheetData>
  <mergeCells count="2">
    <mergeCell ref="A1:E1"/>
    <mergeCell ref="A2:E2"/>
  </mergeCells>
  <hyperlinks>
    <hyperlink ref="A5" r:id="rId1" xr:uid="{00000000-0004-0000-1400-000000000000}"/>
    <hyperlink ref="A6" r:id="rId2" xr:uid="{00000000-0004-0000-1400-000001000000}"/>
    <hyperlink ref="A7" r:id="rId3" xr:uid="{00000000-0004-0000-1400-000002000000}"/>
    <hyperlink ref="A8" r:id="rId4" xr:uid="{00000000-0004-0000-1400-000003000000}"/>
    <hyperlink ref="A9" r:id="rId5" xr:uid="{00000000-0004-0000-1400-000004000000}"/>
    <hyperlink ref="A10" r:id="rId6" xr:uid="{00000000-0004-0000-1400-000005000000}"/>
    <hyperlink ref="A11" r:id="rId7" xr:uid="{00000000-0004-0000-1400-000006000000}"/>
    <hyperlink ref="A12" r:id="rId8" xr:uid="{00000000-0004-0000-1400-000007000000}"/>
    <hyperlink ref="A13" r:id="rId9" xr:uid="{00000000-0004-0000-1400-000008000000}"/>
    <hyperlink ref="A14" r:id="rId10" xr:uid="{00000000-0004-0000-1400-000009000000}"/>
    <hyperlink ref="A15" r:id="rId11" xr:uid="{00000000-0004-0000-1400-00000A000000}"/>
    <hyperlink ref="A16" r:id="rId12" xr:uid="{00000000-0004-0000-1400-00000B000000}"/>
    <hyperlink ref="A17" r:id="rId13" xr:uid="{00000000-0004-0000-1400-00000C000000}"/>
    <hyperlink ref="A18" r:id="rId14" xr:uid="{00000000-0004-0000-1400-00000D000000}"/>
    <hyperlink ref="A19" r:id="rId15" xr:uid="{00000000-0004-0000-1400-00000E000000}"/>
    <hyperlink ref="A20" r:id="rId16" xr:uid="{00000000-0004-0000-1400-00000F000000}"/>
    <hyperlink ref="A21" r:id="rId17" xr:uid="{00000000-0004-0000-1400-000010000000}"/>
    <hyperlink ref="A22" r:id="rId18" xr:uid="{00000000-0004-0000-1400-000011000000}"/>
    <hyperlink ref="A23" r:id="rId19" xr:uid="{00000000-0004-0000-1400-000012000000}"/>
    <hyperlink ref="A24" r:id="rId20" xr:uid="{00000000-0004-0000-1400-000013000000}"/>
    <hyperlink ref="A25" r:id="rId21" xr:uid="{00000000-0004-0000-1400-000014000000}"/>
    <hyperlink ref="A26" r:id="rId22" xr:uid="{00000000-0004-0000-1400-000015000000}"/>
    <hyperlink ref="A27" r:id="rId23" xr:uid="{00000000-0004-0000-1400-000016000000}"/>
    <hyperlink ref="A28" r:id="rId24" xr:uid="{00000000-0004-0000-1400-000017000000}"/>
    <hyperlink ref="A29" r:id="rId25" xr:uid="{00000000-0004-0000-1400-000018000000}"/>
    <hyperlink ref="A30" r:id="rId26" xr:uid="{00000000-0004-0000-1400-000019000000}"/>
    <hyperlink ref="A31" r:id="rId27" xr:uid="{00000000-0004-0000-1400-00001A000000}"/>
    <hyperlink ref="A32" r:id="rId28" xr:uid="{00000000-0004-0000-1400-00001B000000}"/>
    <hyperlink ref="A33" r:id="rId29" xr:uid="{00000000-0004-0000-1400-00001C000000}"/>
    <hyperlink ref="A34" r:id="rId30" xr:uid="{00000000-0004-0000-1400-00001D000000}"/>
    <hyperlink ref="A37" r:id="rId31" xr:uid="{00000000-0004-0000-1400-00001E000000}"/>
    <hyperlink ref="A38" r:id="rId32" xr:uid="{00000000-0004-0000-1400-00001F000000}"/>
    <hyperlink ref="A39" r:id="rId33" xr:uid="{00000000-0004-0000-1400-000020000000}"/>
    <hyperlink ref="A40" r:id="rId34" xr:uid="{00000000-0004-0000-1400-000021000000}"/>
    <hyperlink ref="A41" r:id="rId35" xr:uid="{00000000-0004-0000-1400-000022000000}"/>
    <hyperlink ref="A42" r:id="rId36" xr:uid="{00000000-0004-0000-1400-000023000000}"/>
    <hyperlink ref="A43" r:id="rId37" xr:uid="{00000000-0004-0000-1400-000024000000}"/>
    <hyperlink ref="A44" r:id="rId38" xr:uid="{00000000-0004-0000-1400-000025000000}"/>
    <hyperlink ref="A45" r:id="rId39" xr:uid="{00000000-0004-0000-1400-000026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Read Me</vt:lpstr>
      <vt:lpstr>Brand &amp; Company</vt:lpstr>
      <vt:lpstr>Product Portfolio</vt:lpstr>
      <vt:lpstr>Model Identity</vt:lpstr>
      <vt:lpstr>Variants &amp; Pricing</vt:lpstr>
      <vt:lpstr>Engine &amp; Performance</vt:lpstr>
      <vt:lpstr>Dimensions &amp; Ergonomics</vt:lpstr>
      <vt:lpstr>Brakes, Tyres &amp; Safety</vt:lpstr>
      <vt:lpstr>Suspension &amp; Chassis</vt:lpstr>
      <vt:lpstr>Technology &amp; Connectivity</vt:lpstr>
      <vt:lpstr>Comfort &amp; Practicality</vt:lpstr>
      <vt:lpstr>Use-Case Positioning</vt:lpstr>
      <vt:lpstr>Warranty &amp; Maintenance</vt:lpstr>
      <vt:lpstr>Official Accessories</vt:lpstr>
      <vt:lpstr>Competitors (Secondary)</vt:lpstr>
      <vt:lpstr>Customer Sentiment (Secondary)</vt:lpstr>
      <vt:lpstr>TCO Calculator (Template)</vt:lpstr>
      <vt:lpstr>Customer Profile Template</vt:lpstr>
      <vt:lpstr>Financing, Insurance &amp; Resale</vt:lpstr>
      <vt:lpstr>Not Available (Unresolved)</vt:lpstr>
      <vt:lpstr>Sources &amp; Evidence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DUSHYANT BHARDWAJ</cp:lastModifiedBy>
  <cp:revision>0</cp:revision>
  <dcterms:created xsi:type="dcterms:W3CDTF">2026-09-05T12:36:44Z</dcterms:created>
  <dcterms:modified xsi:type="dcterms:W3CDTF">2026-09-05T12:43:06Z</dcterms:modified>
  <dc:language>en-US</dc:language>
</cp:coreProperties>
</file>